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eia-me" sheetId="1" state="visible" r:id="rId3"/>
    <sheet name="Painel" sheetId="2" state="visible" r:id="rId4"/>
    <sheet name="Oportunidades" sheetId="3" state="visible" r:id="rId5"/>
    <sheet name="Metas" sheetId="4" state="visible" r:id="rId6"/>
    <sheet name="Carteira" sheetId="5" state="visible" r:id="rId7"/>
    <sheet name="Parâmetros" sheetId="6" state="visible" r:id="rId8"/>
  </sheets>
  <definedNames>
    <definedName function="false" hidden="true" localSheetId="4" name="_xlnm._FilterDatabase" vbProcedure="false">Carteira!$A$4:$K$104</definedName>
    <definedName function="false" hidden="true" localSheetId="2" name="_xlnm._FilterDatabase" vbProcedure="false">Oportunidades!$A$4:$O$604</definedName>
    <definedName function="false" hidden="false" localSheetId="1" name="_xlnm.Print_Area" vbProcedure="false">Painel!$A$1:$M$62</definedName>
    <definedName function="false" hidden="false" name="cl_Chave" vbProcedure="false">Carteira!$K$5:$K$104</definedName>
    <definedName function="false" hidden="false" name="cl_Consultor" vbProcedure="false">Carteira!$D$5:$D$104</definedName>
    <definedName function="false" hidden="false" name="cl_Nome" vbProcedure="false">Carteira!$A$5:$A$104</definedName>
    <definedName function="false" hidden="false" name="cl_Regiao" vbProcedure="false">Carteira!$C$5:$C$104</definedName>
    <definedName function="false" hidden="false" name="cl_Situacao" vbProcedure="false">Carteira!$I$5:$I$104</definedName>
    <definedName function="false" hidden="false" name="cl_Total" vbProcedure="false">Carteira!$G$5:$G$104</definedName>
    <definedName function="false" hidden="false" name="cl_Ultima" vbProcedure="false">Carteira!$E$5:$E$104</definedName>
    <definedName function="false" hidden="false" name="CritConsultor" vbProcedure="false">Parâmetros!$C$11</definedName>
    <definedName function="false" hidden="false" name="DataRef" vbProcedure="false">Parâmetros!$C$5</definedName>
    <definedName function="false" hidden="false" name="DiasInativo" vbProcedure="false">Parâmetros!$C$8</definedName>
    <definedName function="false" hidden="false" name="DiasParada" vbProcedure="false">Parâmetros!$C$6</definedName>
    <definedName function="false" hidden="false" name="DiasRisco" vbProcedure="false">Parâmetros!$C$7</definedName>
    <definedName function="false" hidden="false" name="lst_Consultores" vbProcedure="false">Parâmetros!$E$18:$E$23</definedName>
    <definedName function="false" hidden="false" name="lst_Etapas" vbProcedure="false">Parâmetros!$B$17:$B$22</definedName>
    <definedName function="false" hidden="false" name="lst_FiltroConsultor" vbProcedure="false">Parâmetros!$E$17:$E$23</definedName>
    <definedName function="false" hidden="false" name="lst_Meses" vbProcedure="false">Parâmetros!$M$17:$M$28</definedName>
    <definedName function="false" hidden="false" name="lst_Produtos" vbProcedure="false">Parâmetros!$G$17:$G$20</definedName>
    <definedName function="false" hidden="false" name="lst_Regioes" vbProcedure="false">Parâmetros!$I$17:$I$21</definedName>
    <definedName function="false" hidden="false" name="lst_Segmentos" vbProcedure="false">Parâmetros!$K$17:$K$20</definedName>
    <definedName function="false" hidden="false" name="MesFim" vbProcedure="false">Parâmetros!$C$13</definedName>
    <definedName function="false" hidden="false" name="MesIni" vbProcedure="false">Parâmetros!$C$12</definedName>
    <definedName function="false" hidden="false" name="op_Alerta" vbProcedure="false">Oportunidades!$O$5:$O$604</definedName>
    <definedName function="false" hidden="false" name="op_Cliente" vbProcedure="false">Oportunidades!$C$5:$C$604</definedName>
    <definedName function="false" hidden="false" name="op_Consultor" vbProcedure="false">Oportunidades!$D$5:$D$604</definedName>
    <definedName function="false" hidden="false" name="op_Criacao" vbProcedure="false">Oportunidades!$B$5:$B$604</definedName>
    <definedName function="false" hidden="false" name="op_Dias" vbProcedure="false">Oportunidades!$N$5:$N$604</definedName>
    <definedName function="false" hidden="false" name="op_Etapa" vbProcedure="false">Oportunidades!$G$5:$G$604</definedName>
    <definedName function="false" hidden="false" name="op_Fech" vbProcedure="false">Oportunidades!$L$5:$L$604</definedName>
    <definedName function="false" hidden="false" name="op_Pond" vbProcedure="false">Oportunidades!$J$5:$J$604</definedName>
    <definedName function="false" hidden="false" name="op_Prev" vbProcedure="false">Oportunidades!$K$5:$K$604</definedName>
    <definedName function="false" hidden="false" name="op_Status" vbProcedure="false">Oportunidades!$M$5:$M$604</definedName>
    <definedName function="false" hidden="false" name="op_Valor" vbProcedure="false">Oportunidades!$H$5:$H$604</definedName>
    <definedName function="false" hidden="false" name="pr_Etapa" vbProcedure="false">Parâmetros!$B$17:$B$22</definedName>
    <definedName function="false" hidden="false" name="pr_Prob" vbProcedure="false">Parâmetros!$C$17:$C$22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<sst xmlns="http://schemas.openxmlformats.org/spreadsheetml/2006/main" count="2042" uniqueCount="554">
  <si>
    <t xml:space="preserve">Painel Comercial: pipeline, metas e carteira</t>
  </si>
  <si>
    <t xml:space="preserve">Modelo em Excel para apoiar o time comercial. Todos os nomes, valores e datas são fictícios e foram criados para demonstração.</t>
  </si>
  <si>
    <t xml:space="preserve">Para que serve</t>
  </si>
  <si>
    <t xml:space="preserve">Metas</t>
  </si>
  <si>
    <t xml:space="preserve">Mostra o quanto cada consultor vendeu contra a meta do mês e do ano.</t>
  </si>
  <si>
    <t xml:space="preserve">Pipeline</t>
  </si>
  <si>
    <t xml:space="preserve">Soma as oportunidades abertas por etapa e calcula o forecast ponderado pela probabilidade de cada etapa.</t>
  </si>
  <si>
    <t xml:space="preserve">Ação</t>
  </si>
  <si>
    <t xml:space="preserve">Aponta oportunidades paradas, previsões de fechamento vencidas e clientes que precisam de contato.</t>
  </si>
  <si>
    <t xml:space="preserve">Como usar</t>
  </si>
  <si>
    <t xml:space="preserve">1. Painel</t>
  </si>
  <si>
    <t xml:space="preserve">Escolha o mês e o consultor nas células amarelas do topo. Todos os números e gráficos acompanham o filtro.</t>
  </si>
  <si>
    <t xml:space="preserve">2. Oportunidades</t>
  </si>
  <si>
    <t xml:space="preserve">Registre cada oportunidade em uma linha nova (até a linha 604). Escolha cliente, consultor, produto e etapa nas listas. Região, probabilidade, valor ponderado, status, dias e alerta são calculados.</t>
  </si>
  <si>
    <t xml:space="preserve">3. Metas</t>
  </si>
  <si>
    <t xml:space="preserve">Digite a meta mensal de cada consultor. Os totais são somados sozinhos.</t>
  </si>
  <si>
    <t xml:space="preserve">4. Carteira</t>
  </si>
  <si>
    <t xml:space="preserve">Cadastre os clientes. Última compra, total comprado e situação (Ativo, Em risco, Inativo ou Sem compra) saem das vendas ganhas.</t>
  </si>
  <si>
    <t xml:space="preserve">5. Parâmetros</t>
  </si>
  <si>
    <t xml:space="preserve">Ajuste a data de referência, os limites de dias e a probabilidade de cada etapa.</t>
  </si>
  <si>
    <t xml:space="preserve">Legenda de cores</t>
  </si>
  <si>
    <t xml:space="preserve">Texto azul</t>
  </si>
  <si>
    <t xml:space="preserve">Valor digitado por você (entrada).</t>
  </si>
  <si>
    <t xml:space="preserve">Texto preto</t>
  </si>
  <si>
    <t xml:space="preserve">Fórmula. Não precisa editar.</t>
  </si>
  <si>
    <t xml:space="preserve">Texto verde</t>
  </si>
  <si>
    <t xml:space="preserve">Vínculo com outra aba.</t>
  </si>
  <si>
    <t xml:space="preserve">Fundo amarelo</t>
  </si>
  <si>
    <t xml:space="preserve">Campo que você mais vai alterar: filtros do Painel e parâmetros principais.</t>
  </si>
  <si>
    <t xml:space="preserve">Regras de cálculo</t>
  </si>
  <si>
    <t xml:space="preserve">Valor ponderado</t>
  </si>
  <si>
    <t xml:space="preserve">Valor da oportunidade x probabilidade da etapa (aba Parâmetros).</t>
  </si>
  <si>
    <t xml:space="preserve">Atingimento</t>
  </si>
  <si>
    <t xml:space="preserve">Realizado do mês dividido pela meta do mês. Realizado considera só oportunidades ganhas, pela data de fechamento.</t>
  </si>
  <si>
    <t xml:space="preserve">Conversão</t>
  </si>
  <si>
    <t xml:space="preserve">Oportunidades ganhas dividido por ganhas mais perdidas, em todo o período.</t>
  </si>
  <si>
    <t xml:space="preserve">Parada</t>
  </si>
  <si>
    <t xml:space="preserve">Oportunidade aberta há mais dias que o limite da aba Parâmetros (45 dias de partida).</t>
  </si>
  <si>
    <t xml:space="preserve">Previsão vencida</t>
  </si>
  <si>
    <t xml:space="preserve">Oportunidade aberta cuja data prevista de fechamento já passou em relação à data de referência.</t>
  </si>
  <si>
    <t xml:space="preserve">Situação do cliente</t>
  </si>
  <si>
    <t xml:space="preserve">Dias desde a última venda ganha até a data de referência: até 90 dias é Ativo, até 180 é Em risco, acima disso é Inativo.</t>
  </si>
  <si>
    <t xml:space="preserve">Premissas</t>
  </si>
  <si>
    <t xml:space="preserve">Data de referência</t>
  </si>
  <si>
    <t xml:space="preserve">Fixada em 13/10/2026 para o painel não mudar sozinho. Em uso real, troque por =HOJE() em Parâmetros.</t>
  </si>
  <si>
    <t xml:space="preserve">Dados</t>
  </si>
  <si>
    <t xml:space="preserve">Clientes, consultores, valores e metas são inventados. Para usar dados reais, exporte as oportunidades do CRM e cole nas colunas azuis de Oportunidades.</t>
  </si>
  <si>
    <t xml:space="preserve">Capacidade</t>
  </si>
  <si>
    <t xml:space="preserve">Oportunidades aceita até 600 linhas e Carteira até 100 clientes. Para mais, copie as fórmulas das últimas linhas para baixo e amplie os nomes definidos.</t>
  </si>
  <si>
    <t xml:space="preserve">Painel Comercial</t>
  </si>
  <si>
    <t xml:space="preserve">Pipeline, metas e carteira de clientes. Escolha o mês e o consultor nas células amarelas. Dados fictícios para demonstração.</t>
  </si>
  <si>
    <t xml:space="preserve">Mês</t>
  </si>
  <si>
    <t xml:space="preserve">Consultor</t>
  </si>
  <si>
    <t xml:space="preserve">Todos</t>
  </si>
  <si>
    <t xml:space="preserve">META DO MÊS</t>
  </si>
  <si>
    <t xml:space="preserve">VENDIDO NO MÊS</t>
  </si>
  <si>
    <t xml:space="preserve">ATINGIMENTO DA META</t>
  </si>
  <si>
    <t xml:space="preserve">PIPELINE ABERTO</t>
  </si>
  <si>
    <t xml:space="preserve">FORECAST PONDERADO</t>
  </si>
  <si>
    <t xml:space="preserve">CONVERSÃO</t>
  </si>
  <si>
    <t xml:space="preserve">para o filtro atual</t>
  </si>
  <si>
    <t xml:space="preserve">oportunidades ganhas</t>
  </si>
  <si>
    <t xml:space="preserve">soma das oportunidades abertas</t>
  </si>
  <si>
    <t xml:space="preserve">valor x probabilidade da etapa</t>
  </si>
  <si>
    <t xml:space="preserve">ganhas / fechadas, todo o período</t>
  </si>
  <si>
    <t xml:space="preserve">Meta x realizado por consultor (mês selecionado)</t>
  </si>
  <si>
    <t xml:space="preserve">Meta (R$)</t>
  </si>
  <si>
    <t xml:space="preserve">Realizado (R$)</t>
  </si>
  <si>
    <t xml:space="preserve">Realizado - meta (R$)</t>
  </si>
  <si>
    <t xml:space="preserve">Situação</t>
  </si>
  <si>
    <t xml:space="preserve">Total da equipe</t>
  </si>
  <si>
    <t xml:space="preserve">Alertas e indicadores (segue o filtro de consultor)</t>
  </si>
  <si>
    <t xml:space="preserve">Indicador</t>
  </si>
  <si>
    <t xml:space="preserve">Qtde</t>
  </si>
  <si>
    <t xml:space="preserve">Valor (R$)</t>
  </si>
  <si>
    <t xml:space="preserve">Previsão de fechamento vencida</t>
  </si>
  <si>
    <t xml:space="preserve">Clientes em risco (histórico comprado)</t>
  </si>
  <si>
    <t xml:space="preserve">Clientes inativos (histórico comprado)</t>
  </si>
  <si>
    <t xml:space="preserve">Ticket médio das vendas ganhas</t>
  </si>
  <si>
    <t xml:space="preserve">Ciclo médio de venda (dias)</t>
  </si>
  <si>
    <t xml:space="preserve">Funil de oportunidades abertas</t>
  </si>
  <si>
    <t xml:space="preserve">Etapa</t>
  </si>
  <si>
    <t xml:space="preserve">Ponderado (R$)</t>
  </si>
  <si>
    <t xml:space="preserve">% do pipeline</t>
  </si>
  <si>
    <t xml:space="preserve">Total em aberto</t>
  </si>
  <si>
    <t xml:space="preserve">Top 5 clientes por valor comprado (toda a carteira)</t>
  </si>
  <si>
    <t xml:space="preserve">Cliente</t>
  </si>
  <si>
    <t xml:space="preserve">Total comprado (R$)</t>
  </si>
  <si>
    <t xml:space="preserve">Última compra</t>
  </si>
  <si>
    <t xml:space="preserve">Vendas por mês, 2026 (segue o filtro de consultor)</t>
  </si>
  <si>
    <t xml:space="preserve">Meta</t>
  </si>
  <si>
    <t xml:space="preserve">Realizado</t>
  </si>
  <si>
    <t xml:space="preserve">Realizado - meta</t>
  </si>
  <si>
    <t xml:space="preserve">Total do ano</t>
  </si>
  <si>
    <t xml:space="preserve">Meses futuros mostram atingimento em branco. O ano inclui as metas de todos os meses, inclusive os que ainda não aconteceram.</t>
  </si>
  <si>
    <t xml:space="preserve">Oportunidades</t>
  </si>
  <si>
    <t xml:space="preserve">Cada linha é uma oportunidade do CRM. Digite nas colunas azuis até a linha 604. Colunas pretas são fórmulas. Todos os dados são fictícios.</t>
  </si>
  <si>
    <t xml:space="preserve">ID</t>
  </si>
  <si>
    <t xml:space="preserve">Criação</t>
  </si>
  <si>
    <t xml:space="preserve">Região</t>
  </si>
  <si>
    <t xml:space="preserve">Produto</t>
  </si>
  <si>
    <t xml:space="preserve">Prob.</t>
  </si>
  <si>
    <t xml:space="preserve">Previsão de fechamento</t>
  </si>
  <si>
    <t xml:space="preserve">Fechamento</t>
  </si>
  <si>
    <t xml:space="preserve">Status</t>
  </si>
  <si>
    <t xml:space="preserve">Dias (aberta ou ciclo)</t>
  </si>
  <si>
    <t xml:space="preserve">Alerta</t>
  </si>
  <si>
    <t xml:space="preserve">OP-0001</t>
  </si>
  <si>
    <t xml:space="preserve">Colégio Maristela</t>
  </si>
  <si>
    <t xml:space="preserve">Diego Rocha</t>
  </si>
  <si>
    <t xml:space="preserve">Material Complementar</t>
  </si>
  <si>
    <t xml:space="preserve">Fechado perdido</t>
  </si>
  <si>
    <t xml:space="preserve">OP-0002</t>
  </si>
  <si>
    <t xml:space="preserve">Cursinho Meta Certa</t>
  </si>
  <si>
    <t xml:space="preserve">Felipe Duarte</t>
  </si>
  <si>
    <t xml:space="preserve">Coleção Didática</t>
  </si>
  <si>
    <t xml:space="preserve">Fechado ganho</t>
  </si>
  <si>
    <t xml:space="preserve">OP-0003</t>
  </si>
  <si>
    <t xml:space="preserve">Colégio Integral Plus</t>
  </si>
  <si>
    <t xml:space="preserve">Ana Souza</t>
  </si>
  <si>
    <t xml:space="preserve">OP-0004</t>
  </si>
  <si>
    <t xml:space="preserve">Prefeitura de Campo Alto</t>
  </si>
  <si>
    <t xml:space="preserve">Formação de Professores</t>
  </si>
  <si>
    <t xml:space="preserve">OP-0005</t>
  </si>
  <si>
    <t xml:space="preserve">Proposta enviada</t>
  </si>
  <si>
    <t xml:space="preserve">OP-0006</t>
  </si>
  <si>
    <t xml:space="preserve">Rede Saber Mais</t>
  </si>
  <si>
    <t xml:space="preserve">Bruno Lima</t>
  </si>
  <si>
    <t xml:space="preserve">Plataforma Digital</t>
  </si>
  <si>
    <t xml:space="preserve">OP-0007</t>
  </si>
  <si>
    <t xml:space="preserve">Escola Alicerce</t>
  </si>
  <si>
    <t xml:space="preserve">Elisa Prado</t>
  </si>
  <si>
    <t xml:space="preserve">OP-0008</t>
  </si>
  <si>
    <t xml:space="preserve">Prefeitura de Monte Belo</t>
  </si>
  <si>
    <t xml:space="preserve">OP-0009</t>
  </si>
  <si>
    <t xml:space="preserve">Colégio Aurora</t>
  </si>
  <si>
    <t xml:space="preserve">OP-0010</t>
  </si>
  <si>
    <t xml:space="preserve">Colégio Estrela do Norte</t>
  </si>
  <si>
    <t xml:space="preserve">OP-0011</t>
  </si>
  <si>
    <t xml:space="preserve">Colégio Ipê Amarelo</t>
  </si>
  <si>
    <t xml:space="preserve">OP-0012</t>
  </si>
  <si>
    <t xml:space="preserve">Rede Primeiros Passos</t>
  </si>
  <si>
    <t xml:space="preserve">OP-0013</t>
  </si>
  <si>
    <t xml:space="preserve">OP-0014</t>
  </si>
  <si>
    <t xml:space="preserve">OP-0015</t>
  </si>
  <si>
    <t xml:space="preserve">Centro Educacional Pioneiro</t>
  </si>
  <si>
    <t xml:space="preserve">OP-0016</t>
  </si>
  <si>
    <t xml:space="preserve">OP-0017</t>
  </si>
  <si>
    <t xml:space="preserve">Instituto Novo Rumo</t>
  </si>
  <si>
    <t xml:space="preserve">OP-0018</t>
  </si>
  <si>
    <t xml:space="preserve">OP-0019</t>
  </si>
  <si>
    <t xml:space="preserve">OP-0020</t>
  </si>
  <si>
    <t xml:space="preserve">OP-0021</t>
  </si>
  <si>
    <t xml:space="preserve">Cursinho Ponto Alto</t>
  </si>
  <si>
    <t xml:space="preserve">OP-0022</t>
  </si>
  <si>
    <t xml:space="preserve">Escola Girassol</t>
  </si>
  <si>
    <t xml:space="preserve">OP-0023</t>
  </si>
  <si>
    <t xml:space="preserve">OP-0024</t>
  </si>
  <si>
    <t xml:space="preserve">Escola Árvore da Vida</t>
  </si>
  <si>
    <t xml:space="preserve">OP-0025</t>
  </si>
  <si>
    <t xml:space="preserve">OP-0026</t>
  </si>
  <si>
    <t xml:space="preserve">OP-0027</t>
  </si>
  <si>
    <t xml:space="preserve">Escola Caminho do Saber</t>
  </si>
  <si>
    <t xml:space="preserve">OP-0028</t>
  </si>
  <si>
    <t xml:space="preserve">Instituto Aprender+</t>
  </si>
  <si>
    <t xml:space="preserve">Carla Mendes</t>
  </si>
  <si>
    <t xml:space="preserve">OP-0029</t>
  </si>
  <si>
    <t xml:space="preserve">OP-0030</t>
  </si>
  <si>
    <t xml:space="preserve">Escola Nova Era</t>
  </si>
  <si>
    <t xml:space="preserve">OP-0031</t>
  </si>
  <si>
    <t xml:space="preserve">OP-0032</t>
  </si>
  <si>
    <t xml:space="preserve">Colégio Lumiar</t>
  </si>
  <si>
    <t xml:space="preserve">OP-0033</t>
  </si>
  <si>
    <t xml:space="preserve">OP-0034</t>
  </si>
  <si>
    <t xml:space="preserve">OP-0035</t>
  </si>
  <si>
    <t xml:space="preserve">Prefeitura de Vila Nova</t>
  </si>
  <si>
    <t xml:space="preserve">OP-0036</t>
  </si>
  <si>
    <t xml:space="preserve">OP-0037</t>
  </si>
  <si>
    <t xml:space="preserve">OP-0038</t>
  </si>
  <si>
    <t xml:space="preserve">OP-0039</t>
  </si>
  <si>
    <t xml:space="preserve">Prefeitura de Rio Claro do Sul</t>
  </si>
  <si>
    <t xml:space="preserve">OP-0040</t>
  </si>
  <si>
    <t xml:space="preserve">Colégio Santa Clara</t>
  </si>
  <si>
    <t xml:space="preserve">OP-0041</t>
  </si>
  <si>
    <t xml:space="preserve">OP-0042</t>
  </si>
  <si>
    <t xml:space="preserve">OP-0043</t>
  </si>
  <si>
    <t xml:space="preserve">Instituto Ágora</t>
  </si>
  <si>
    <t xml:space="preserve">OP-0044</t>
  </si>
  <si>
    <t xml:space="preserve">OP-0045</t>
  </si>
  <si>
    <t xml:space="preserve">OP-0046</t>
  </si>
  <si>
    <t xml:space="preserve">OP-0047</t>
  </si>
  <si>
    <t xml:space="preserve">OP-0048</t>
  </si>
  <si>
    <t xml:space="preserve">Colégio Vale Verde</t>
  </si>
  <si>
    <t xml:space="preserve">OP-0049</t>
  </si>
  <si>
    <t xml:space="preserve">OP-0050</t>
  </si>
  <si>
    <t xml:space="preserve">OP-0051</t>
  </si>
  <si>
    <t xml:space="preserve">OP-0052</t>
  </si>
  <si>
    <t xml:space="preserve">OP-0053</t>
  </si>
  <si>
    <t xml:space="preserve">OP-0054</t>
  </si>
  <si>
    <t xml:space="preserve">OP-0055</t>
  </si>
  <si>
    <t xml:space="preserve">OP-0056</t>
  </si>
  <si>
    <t xml:space="preserve">Escola Semente do Amanhã</t>
  </si>
  <si>
    <t xml:space="preserve">OP-0057</t>
  </si>
  <si>
    <t xml:space="preserve">OP-0058</t>
  </si>
  <si>
    <t xml:space="preserve">OP-0059</t>
  </si>
  <si>
    <t xml:space="preserve">OP-0060</t>
  </si>
  <si>
    <t xml:space="preserve">OP-0061</t>
  </si>
  <si>
    <t xml:space="preserve">Rede Sol Nascente</t>
  </si>
  <si>
    <t xml:space="preserve">OP-0062</t>
  </si>
  <si>
    <t xml:space="preserve">OP-0063</t>
  </si>
  <si>
    <t xml:space="preserve">OP-0064</t>
  </si>
  <si>
    <t xml:space="preserve">OP-0065</t>
  </si>
  <si>
    <t xml:space="preserve">OP-0066</t>
  </si>
  <si>
    <t xml:space="preserve">OP-0067</t>
  </si>
  <si>
    <t xml:space="preserve">OP-0068</t>
  </si>
  <si>
    <t xml:space="preserve">OP-0069</t>
  </si>
  <si>
    <t xml:space="preserve">OP-0070</t>
  </si>
  <si>
    <t xml:space="preserve">OP-0071</t>
  </si>
  <si>
    <t xml:space="preserve">OP-0072</t>
  </si>
  <si>
    <t xml:space="preserve">OP-0073</t>
  </si>
  <si>
    <t xml:space="preserve">OP-0074</t>
  </si>
  <si>
    <t xml:space="preserve">OP-0075</t>
  </si>
  <si>
    <t xml:space="preserve">OP-0076</t>
  </si>
  <si>
    <t xml:space="preserve">OP-0077</t>
  </si>
  <si>
    <t xml:space="preserve">Qualificação</t>
  </si>
  <si>
    <t xml:space="preserve">OP-0078</t>
  </si>
  <si>
    <t xml:space="preserve">OP-0079</t>
  </si>
  <si>
    <t xml:space="preserve">OP-0080</t>
  </si>
  <si>
    <t xml:space="preserve">OP-0081</t>
  </si>
  <si>
    <t xml:space="preserve">OP-0082</t>
  </si>
  <si>
    <t xml:space="preserve">OP-0083</t>
  </si>
  <si>
    <t xml:space="preserve">OP-0084</t>
  </si>
  <si>
    <t xml:space="preserve">OP-0085</t>
  </si>
  <si>
    <t xml:space="preserve">OP-0086</t>
  </si>
  <si>
    <t xml:space="preserve">OP-0087</t>
  </si>
  <si>
    <t xml:space="preserve">OP-0088</t>
  </si>
  <si>
    <t xml:space="preserve">Instituto Horizonte</t>
  </si>
  <si>
    <t xml:space="preserve">OP-0089</t>
  </si>
  <si>
    <t xml:space="preserve">OP-0090</t>
  </si>
  <si>
    <t xml:space="preserve">OP-0091</t>
  </si>
  <si>
    <t xml:space="preserve">OP-0092</t>
  </si>
  <si>
    <t xml:space="preserve">OP-0093</t>
  </si>
  <si>
    <t xml:space="preserve">OP-0094</t>
  </si>
  <si>
    <t xml:space="preserve">OP-0095</t>
  </si>
  <si>
    <t xml:space="preserve">OP-0096</t>
  </si>
  <si>
    <t xml:space="preserve">OP-0097</t>
  </si>
  <si>
    <t xml:space="preserve">OP-0098</t>
  </si>
  <si>
    <t xml:space="preserve">OP-0099</t>
  </si>
  <si>
    <t xml:space="preserve">OP-0100</t>
  </si>
  <si>
    <t xml:space="preserve">OP-0101</t>
  </si>
  <si>
    <t xml:space="preserve">OP-0102</t>
  </si>
  <si>
    <t xml:space="preserve">OP-0103</t>
  </si>
  <si>
    <t xml:space="preserve">OP-0104</t>
  </si>
  <si>
    <t xml:space="preserve">OP-0105</t>
  </si>
  <si>
    <t xml:space="preserve">OP-0106</t>
  </si>
  <si>
    <t xml:space="preserve">OP-0107</t>
  </si>
  <si>
    <t xml:space="preserve">OP-0108</t>
  </si>
  <si>
    <t xml:space="preserve">OP-0109</t>
  </si>
  <si>
    <t xml:space="preserve">OP-0110</t>
  </si>
  <si>
    <t xml:space="preserve">OP-0111</t>
  </si>
  <si>
    <t xml:space="preserve">OP-0112</t>
  </si>
  <si>
    <t xml:space="preserve">OP-0113</t>
  </si>
  <si>
    <t xml:space="preserve">OP-0114</t>
  </si>
  <si>
    <t xml:space="preserve">OP-0115</t>
  </si>
  <si>
    <t xml:space="preserve">OP-0116</t>
  </si>
  <si>
    <t xml:space="preserve">OP-0117</t>
  </si>
  <si>
    <t xml:space="preserve">OP-0118</t>
  </si>
  <si>
    <t xml:space="preserve">OP-0119</t>
  </si>
  <si>
    <t xml:space="preserve">OP-0120</t>
  </si>
  <si>
    <t xml:space="preserve">OP-0121</t>
  </si>
  <si>
    <t xml:space="preserve">OP-0122</t>
  </si>
  <si>
    <t xml:space="preserve">OP-0123</t>
  </si>
  <si>
    <t xml:space="preserve">OP-0124</t>
  </si>
  <si>
    <t xml:space="preserve">OP-0125</t>
  </si>
  <si>
    <t xml:space="preserve">OP-0126</t>
  </si>
  <si>
    <t xml:space="preserve">OP-0127</t>
  </si>
  <si>
    <t xml:space="preserve">OP-0128</t>
  </si>
  <si>
    <t xml:space="preserve">OP-0129</t>
  </si>
  <si>
    <t xml:space="preserve">OP-0130</t>
  </si>
  <si>
    <t xml:space="preserve">OP-0131</t>
  </si>
  <si>
    <t xml:space="preserve">OP-0132</t>
  </si>
  <si>
    <t xml:space="preserve">OP-0133</t>
  </si>
  <si>
    <t xml:space="preserve">OP-0134</t>
  </si>
  <si>
    <t xml:space="preserve">OP-0135</t>
  </si>
  <si>
    <t xml:space="preserve">OP-0136</t>
  </si>
  <si>
    <t xml:space="preserve">OP-0137</t>
  </si>
  <si>
    <t xml:space="preserve">OP-0138</t>
  </si>
  <si>
    <t xml:space="preserve">OP-0139</t>
  </si>
  <si>
    <t xml:space="preserve">OP-0140</t>
  </si>
  <si>
    <t xml:space="preserve">OP-0141</t>
  </si>
  <si>
    <t xml:space="preserve">OP-0142</t>
  </si>
  <si>
    <t xml:space="preserve">OP-0143</t>
  </si>
  <si>
    <t xml:space="preserve">OP-0144</t>
  </si>
  <si>
    <t xml:space="preserve">OP-0145</t>
  </si>
  <si>
    <t xml:space="preserve">OP-0146</t>
  </si>
  <si>
    <t xml:space="preserve">OP-0147</t>
  </si>
  <si>
    <t xml:space="preserve">OP-0148</t>
  </si>
  <si>
    <t xml:space="preserve">OP-0149</t>
  </si>
  <si>
    <t xml:space="preserve">OP-0150</t>
  </si>
  <si>
    <t xml:space="preserve">OP-0151</t>
  </si>
  <si>
    <t xml:space="preserve">OP-0152</t>
  </si>
  <si>
    <t xml:space="preserve">OP-0153</t>
  </si>
  <si>
    <t xml:space="preserve">OP-0154</t>
  </si>
  <si>
    <t xml:space="preserve">OP-0155</t>
  </si>
  <si>
    <t xml:space="preserve">OP-0156</t>
  </si>
  <si>
    <t xml:space="preserve">OP-0157</t>
  </si>
  <si>
    <t xml:space="preserve">OP-0158</t>
  </si>
  <si>
    <t xml:space="preserve">OP-0159</t>
  </si>
  <si>
    <t xml:space="preserve">OP-0160</t>
  </si>
  <si>
    <t xml:space="preserve">OP-0161</t>
  </si>
  <si>
    <t xml:space="preserve">OP-0162</t>
  </si>
  <si>
    <t xml:space="preserve">OP-0163</t>
  </si>
  <si>
    <t xml:space="preserve">OP-0164</t>
  </si>
  <si>
    <t xml:space="preserve">OP-0165</t>
  </si>
  <si>
    <t xml:space="preserve">OP-0166</t>
  </si>
  <si>
    <t xml:space="preserve">OP-0167</t>
  </si>
  <si>
    <t xml:space="preserve">OP-0168</t>
  </si>
  <si>
    <t xml:space="preserve">OP-0169</t>
  </si>
  <si>
    <t xml:space="preserve">OP-0170</t>
  </si>
  <si>
    <t xml:space="preserve">OP-0171</t>
  </si>
  <si>
    <t xml:space="preserve">OP-0172</t>
  </si>
  <si>
    <t xml:space="preserve">OP-0173</t>
  </si>
  <si>
    <t xml:space="preserve">OP-0174</t>
  </si>
  <si>
    <t xml:space="preserve">OP-0175</t>
  </si>
  <si>
    <t xml:space="preserve">OP-0176</t>
  </si>
  <si>
    <t xml:space="preserve">OP-0177</t>
  </si>
  <si>
    <t xml:space="preserve">OP-0178</t>
  </si>
  <si>
    <t xml:space="preserve">OP-0179</t>
  </si>
  <si>
    <t xml:space="preserve">OP-0180</t>
  </si>
  <si>
    <t xml:space="preserve">Escola Ciranda</t>
  </si>
  <si>
    <t xml:space="preserve">OP-0181</t>
  </si>
  <si>
    <t xml:space="preserve">OP-0182</t>
  </si>
  <si>
    <t xml:space="preserve">OP-0183</t>
  </si>
  <si>
    <t xml:space="preserve">OP-0184</t>
  </si>
  <si>
    <t xml:space="preserve">OP-0185</t>
  </si>
  <si>
    <t xml:space="preserve">OP-0186</t>
  </si>
  <si>
    <t xml:space="preserve">OP-0187</t>
  </si>
  <si>
    <t xml:space="preserve">Cursinho Vestibular Já</t>
  </si>
  <si>
    <t xml:space="preserve">OP-0188</t>
  </si>
  <si>
    <t xml:space="preserve">OP-0189</t>
  </si>
  <si>
    <t xml:space="preserve">OP-0190</t>
  </si>
  <si>
    <t xml:space="preserve">OP-0191</t>
  </si>
  <si>
    <t xml:space="preserve">OP-0192</t>
  </si>
  <si>
    <t xml:space="preserve">OP-0193</t>
  </si>
  <si>
    <t xml:space="preserve">OP-0194</t>
  </si>
  <si>
    <t xml:space="preserve">OP-0195</t>
  </si>
  <si>
    <t xml:space="preserve">Colégio Nova Geração</t>
  </si>
  <si>
    <t xml:space="preserve">OP-0196</t>
  </si>
  <si>
    <t xml:space="preserve">OP-0197</t>
  </si>
  <si>
    <t xml:space="preserve">OP-0198</t>
  </si>
  <si>
    <t xml:space="preserve">OP-0199</t>
  </si>
  <si>
    <t xml:space="preserve">Escola Primavera</t>
  </si>
  <si>
    <t xml:space="preserve">OP-0200</t>
  </si>
  <si>
    <t xml:space="preserve">OP-0201</t>
  </si>
  <si>
    <t xml:space="preserve">OP-0202</t>
  </si>
  <si>
    <t xml:space="preserve">OP-0203</t>
  </si>
  <si>
    <t xml:space="preserve">OP-0204</t>
  </si>
  <si>
    <t xml:space="preserve">OP-0205</t>
  </si>
  <si>
    <t xml:space="preserve">OP-0206</t>
  </si>
  <si>
    <t xml:space="preserve">OP-0207</t>
  </si>
  <si>
    <t xml:space="preserve">OP-0208</t>
  </si>
  <si>
    <t xml:space="preserve">Prospecção</t>
  </si>
  <si>
    <t xml:space="preserve">OP-0209</t>
  </si>
  <si>
    <t xml:space="preserve">OP-0210</t>
  </si>
  <si>
    <t xml:space="preserve">OP-0211</t>
  </si>
  <si>
    <t xml:space="preserve">OP-0212</t>
  </si>
  <si>
    <t xml:space="preserve">OP-0213</t>
  </si>
  <si>
    <t xml:space="preserve">OP-0214</t>
  </si>
  <si>
    <t xml:space="preserve">Negociação</t>
  </si>
  <si>
    <t xml:space="preserve">OP-0215</t>
  </si>
  <si>
    <t xml:space="preserve">OP-0216</t>
  </si>
  <si>
    <t xml:space="preserve">OP-0217</t>
  </si>
  <si>
    <t xml:space="preserve">OP-0218</t>
  </si>
  <si>
    <t xml:space="preserve">OP-0219</t>
  </si>
  <si>
    <t xml:space="preserve">OP-0220</t>
  </si>
  <si>
    <t xml:space="preserve">OP-0221</t>
  </si>
  <si>
    <t xml:space="preserve">OP-0222</t>
  </si>
  <si>
    <t xml:space="preserve">OP-0223</t>
  </si>
  <si>
    <t xml:space="preserve">OP-0224</t>
  </si>
  <si>
    <t xml:space="preserve">OP-0225</t>
  </si>
  <si>
    <t xml:space="preserve">OP-0226</t>
  </si>
  <si>
    <t xml:space="preserve">OP-0227</t>
  </si>
  <si>
    <t xml:space="preserve">OP-0228</t>
  </si>
  <si>
    <t xml:space="preserve">OP-0229</t>
  </si>
  <si>
    <t xml:space="preserve">OP-0230</t>
  </si>
  <si>
    <t xml:space="preserve">OP-0231</t>
  </si>
  <si>
    <t xml:space="preserve">OP-0232</t>
  </si>
  <si>
    <t xml:space="preserve">OP-0233</t>
  </si>
  <si>
    <t xml:space="preserve">OP-0234</t>
  </si>
  <si>
    <t xml:space="preserve">OP-0235</t>
  </si>
  <si>
    <t xml:space="preserve">OP-0236</t>
  </si>
  <si>
    <t xml:space="preserve">OP-0237</t>
  </si>
  <si>
    <t xml:space="preserve">OP-0238</t>
  </si>
  <si>
    <t xml:space="preserve">OP-0239</t>
  </si>
  <si>
    <t xml:space="preserve">OP-0240</t>
  </si>
  <si>
    <t xml:space="preserve">OP-0241</t>
  </si>
  <si>
    <t xml:space="preserve">OP-0242</t>
  </si>
  <si>
    <t xml:space="preserve">OP-0243</t>
  </si>
  <si>
    <t xml:space="preserve">OP-0244</t>
  </si>
  <si>
    <t xml:space="preserve">OP-0245</t>
  </si>
  <si>
    <t xml:space="preserve">OP-0246</t>
  </si>
  <si>
    <t xml:space="preserve">OP-0247</t>
  </si>
  <si>
    <t xml:space="preserve">OP-0248</t>
  </si>
  <si>
    <t xml:space="preserve">OP-0249</t>
  </si>
  <si>
    <t xml:space="preserve">OP-0250</t>
  </si>
  <si>
    <t xml:space="preserve">OP-0251</t>
  </si>
  <si>
    <t xml:space="preserve">OP-0252</t>
  </si>
  <si>
    <t xml:space="preserve">OP-0253</t>
  </si>
  <si>
    <t xml:space="preserve">OP-0254</t>
  </si>
  <si>
    <t xml:space="preserve">OP-0255</t>
  </si>
  <si>
    <t xml:space="preserve">OP-0256</t>
  </si>
  <si>
    <t xml:space="preserve">OP-0257</t>
  </si>
  <si>
    <t xml:space="preserve">OP-0258</t>
  </si>
  <si>
    <t xml:space="preserve">OP-0259</t>
  </si>
  <si>
    <t xml:space="preserve">OP-0260</t>
  </si>
  <si>
    <t xml:space="preserve">OP-0261</t>
  </si>
  <si>
    <t xml:space="preserve">OP-0262</t>
  </si>
  <si>
    <t xml:space="preserve">OP-0263</t>
  </si>
  <si>
    <t xml:space="preserve">OP-0264</t>
  </si>
  <si>
    <t xml:space="preserve">OP-0265</t>
  </si>
  <si>
    <t xml:space="preserve">OP-0266</t>
  </si>
  <si>
    <t xml:space="preserve">OP-0267</t>
  </si>
  <si>
    <t xml:space="preserve">OP-0268</t>
  </si>
  <si>
    <t xml:space="preserve">OP-0269</t>
  </si>
  <si>
    <t xml:space="preserve">OP-0270</t>
  </si>
  <si>
    <t xml:space="preserve">OP-0271</t>
  </si>
  <si>
    <t xml:space="preserve">OP-0272</t>
  </si>
  <si>
    <t xml:space="preserve">OP-0273</t>
  </si>
  <si>
    <t xml:space="preserve">OP-0274</t>
  </si>
  <si>
    <t xml:space="preserve">OP-0275</t>
  </si>
  <si>
    <t xml:space="preserve">OP-0276</t>
  </si>
  <si>
    <t xml:space="preserve">OP-0277</t>
  </si>
  <si>
    <t xml:space="preserve">OP-0278</t>
  </si>
  <si>
    <t xml:space="preserve">OP-0279</t>
  </si>
  <si>
    <t xml:space="preserve">OP-0280</t>
  </si>
  <si>
    <t xml:space="preserve">OP-0281</t>
  </si>
  <si>
    <t xml:space="preserve">OP-0282</t>
  </si>
  <si>
    <t xml:space="preserve">OP-0283</t>
  </si>
  <si>
    <t xml:space="preserve">OP-0284</t>
  </si>
  <si>
    <t xml:space="preserve">OP-0285</t>
  </si>
  <si>
    <t xml:space="preserve">OP-0286</t>
  </si>
  <si>
    <t xml:space="preserve">OP-0287</t>
  </si>
  <si>
    <t xml:space="preserve">OP-0288</t>
  </si>
  <si>
    <t xml:space="preserve">OP-0289</t>
  </si>
  <si>
    <t xml:space="preserve">OP-0290</t>
  </si>
  <si>
    <t xml:space="preserve">OP-0291</t>
  </si>
  <si>
    <t xml:space="preserve">OP-0292</t>
  </si>
  <si>
    <t xml:space="preserve">OP-0293</t>
  </si>
  <si>
    <t xml:space="preserve">OP-0294</t>
  </si>
  <si>
    <t xml:space="preserve">OP-0295</t>
  </si>
  <si>
    <t xml:space="preserve">OP-0296</t>
  </si>
  <si>
    <t xml:space="preserve">OP-0297</t>
  </si>
  <si>
    <t xml:space="preserve">OP-0298</t>
  </si>
  <si>
    <t xml:space="preserve">OP-0299</t>
  </si>
  <si>
    <t xml:space="preserve">OP-0300</t>
  </si>
  <si>
    <t xml:space="preserve">OP-0301</t>
  </si>
  <si>
    <t xml:space="preserve">OP-0302</t>
  </si>
  <si>
    <t xml:space="preserve">OP-0303</t>
  </si>
  <si>
    <t xml:space="preserve">OP-0304</t>
  </si>
  <si>
    <t xml:space="preserve">OP-0305</t>
  </si>
  <si>
    <t xml:space="preserve">OP-0306</t>
  </si>
  <si>
    <t xml:space="preserve">OP-0307</t>
  </si>
  <si>
    <t xml:space="preserve">OP-0308</t>
  </si>
  <si>
    <t xml:space="preserve">OP-0309</t>
  </si>
  <si>
    <t xml:space="preserve">OP-0310</t>
  </si>
  <si>
    <t xml:space="preserve">OP-0311</t>
  </si>
  <si>
    <t xml:space="preserve">OP-0312</t>
  </si>
  <si>
    <t xml:space="preserve">OP-0313</t>
  </si>
  <si>
    <t xml:space="preserve">OP-0314</t>
  </si>
  <si>
    <t xml:space="preserve">OP-0315</t>
  </si>
  <si>
    <t xml:space="preserve">OP-0316</t>
  </si>
  <si>
    <t xml:space="preserve">OP-0317</t>
  </si>
  <si>
    <t xml:space="preserve">OP-0318</t>
  </si>
  <si>
    <t xml:space="preserve">OP-0319</t>
  </si>
  <si>
    <t xml:space="preserve">OP-0320</t>
  </si>
  <si>
    <t xml:space="preserve">OP-0321</t>
  </si>
  <si>
    <t xml:space="preserve">OP-0322</t>
  </si>
  <si>
    <t xml:space="preserve">OP-0323</t>
  </si>
  <si>
    <t xml:space="preserve">OP-0324</t>
  </si>
  <si>
    <t xml:space="preserve">OP-0325</t>
  </si>
  <si>
    <t xml:space="preserve">OP-0326</t>
  </si>
  <si>
    <t xml:space="preserve">OP-0327</t>
  </si>
  <si>
    <t xml:space="preserve">OP-0328</t>
  </si>
  <si>
    <t xml:space="preserve">OP-0329</t>
  </si>
  <si>
    <t xml:space="preserve">OP-0330</t>
  </si>
  <si>
    <t xml:space="preserve">OP-0331</t>
  </si>
  <si>
    <t xml:space="preserve">OP-0332</t>
  </si>
  <si>
    <t xml:space="preserve">OP-0333</t>
  </si>
  <si>
    <t xml:space="preserve">OP-0334</t>
  </si>
  <si>
    <t xml:space="preserve">OP-0335</t>
  </si>
  <si>
    <t xml:space="preserve">OP-0336</t>
  </si>
  <si>
    <t xml:space="preserve">OP-0337</t>
  </si>
  <si>
    <t xml:space="preserve">OP-0338</t>
  </si>
  <si>
    <t xml:space="preserve">OP-0339</t>
  </si>
  <si>
    <t xml:space="preserve">OP-0340</t>
  </si>
  <si>
    <t xml:space="preserve">OP-0341</t>
  </si>
  <si>
    <t xml:space="preserve">OP-0342</t>
  </si>
  <si>
    <t xml:space="preserve">Metas de vendas por consultor, 2026</t>
  </si>
  <si>
    <t xml:space="preserve">Digite a meta mensal de cada consultor (azul). Os totais e o Painel se atualizam sozinhos. Metas fictícias.</t>
  </si>
  <si>
    <t xml:space="preserve">Meta do ano (R$)</t>
  </si>
  <si>
    <t xml:space="preserve">Valores em R$. Sazonalidade fictícia: fevereiro, março, agosto e o último trimestre pesam mais.</t>
  </si>
  <si>
    <t xml:space="preserve">Carteira de clientes</t>
  </si>
  <si>
    <t xml:space="preserve">Cadastre os clientes nas colunas azuis. Última compra, total comprado e situação saem das vendas ganhas em Oportunidades.</t>
  </si>
  <si>
    <t xml:space="preserve">Segmento</t>
  </si>
  <si>
    <t xml:space="preserve">Nº de compras</t>
  </si>
  <si>
    <t xml:space="preserve">Dias sem comprar</t>
  </si>
  <si>
    <t xml:space="preserve">Ação sugerida</t>
  </si>
  <si>
    <t xml:space="preserve">Chave de ranking</t>
  </si>
  <si>
    <t xml:space="preserve">Escola privada</t>
  </si>
  <si>
    <t xml:space="preserve">Sudeste</t>
  </si>
  <si>
    <t xml:space="preserve">Sul</t>
  </si>
  <si>
    <t xml:space="preserve">Rede de ensino</t>
  </si>
  <si>
    <t xml:space="preserve">Nordeste</t>
  </si>
  <si>
    <t xml:space="preserve">Centro-Oeste</t>
  </si>
  <si>
    <t xml:space="preserve">Norte</t>
  </si>
  <si>
    <t xml:space="preserve">Prefeitura</t>
  </si>
  <si>
    <t xml:space="preserve">Cursinho</t>
  </si>
  <si>
    <t xml:space="preserve">Parâmetros</t>
  </si>
  <si>
    <t xml:space="preserve">Valores que alimentam as fórmulas. Texto azul = digitado por você. Fundo amarelo = o que você mais vai mexer.</t>
  </si>
  <si>
    <t xml:space="preserve">Parâmetros gerais</t>
  </si>
  <si>
    <t xml:space="preserve">Fixa para o painel não mudar sozinho. Troque por =HOJE() para uso diário.</t>
  </si>
  <si>
    <t xml:space="preserve">Oportunidade parada a partir de (dias em aberto)</t>
  </si>
  <si>
    <t xml:space="preserve">Oportunidade aberta há mais dias que isso recebe o alerta Parada.</t>
  </si>
  <si>
    <t xml:space="preserve">Cliente em risco a partir de (dias sem compra)</t>
  </si>
  <si>
    <t xml:space="preserve">Contados desde a última venda ganha.</t>
  </si>
  <si>
    <t xml:space="preserve">Cliente inativo a partir de (dias sem compra)</t>
  </si>
  <si>
    <t xml:space="preserve">Acima disso a carteira sugere campanha de reativação.</t>
  </si>
  <si>
    <t xml:space="preserve">Auxiliares (calculados, não editar)</t>
  </si>
  <si>
    <t xml:space="preserve">Critério do filtro de consultor</t>
  </si>
  <si>
    <t xml:space="preserve">Vira * (qualquer consultor) quando o Painel está em Todos.</t>
  </si>
  <si>
    <t xml:space="preserve">Início do mês selecionado</t>
  </si>
  <si>
    <t xml:space="preserve">Fim do mês selecionado</t>
  </si>
  <si>
    <t xml:space="preserve">Listas</t>
  </si>
  <si>
    <t xml:space="preserve">Etapa do funil</t>
  </si>
  <si>
    <t xml:space="preserve">Probabilidade</t>
  </si>
  <si>
    <t xml:space="preserve">Consultores</t>
  </si>
  <si>
    <t xml:space="preserve">Produtos</t>
  </si>
  <si>
    <t xml:space="preserve">Regiões</t>
  </si>
  <si>
    <t xml:space="preserve">Segmentos</t>
  </si>
  <si>
    <t xml:space="preserve">Mês (data)</t>
  </si>
  <si>
    <t xml:space="preserve">Rótulo</t>
  </si>
  <si>
    <t xml:space="preserve">Jan/26</t>
  </si>
  <si>
    <t xml:space="preserve">Fev/26</t>
  </si>
  <si>
    <t xml:space="preserve">Mar/26</t>
  </si>
  <si>
    <t xml:space="preserve">Abr/26</t>
  </si>
  <si>
    <t xml:space="preserve">Mai/26</t>
  </si>
  <si>
    <t xml:space="preserve">Jun/26</t>
  </si>
  <si>
    <t xml:space="preserve">Jul/26</t>
  </si>
  <si>
    <t xml:space="preserve">Probabilidades por etapa são ilustrativas. Ajuste ao histórico de conversão da sua equipe.</t>
  </si>
  <si>
    <t xml:space="preserve">Ago/26</t>
  </si>
  <si>
    <t xml:space="preserve">Set/26</t>
  </si>
  <si>
    <t xml:space="preserve">Out/26</t>
  </si>
  <si>
    <t xml:space="preserve">Nov/26</t>
  </si>
  <si>
    <t xml:space="preserve">Dez/26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</si>
</sst>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mmm/yyyy"/>
    <numFmt numFmtId="166" formatCode="dd/mm/yyyy"/>
    <numFmt numFmtId="167" formatCode="&quot;R$ &quot;#,##0;&quot;(R$ &quot;#,##0\);\-"/>
    <numFmt numFmtId="168" formatCode="0.0%;\(0.0%\);\-"/>
    <numFmt numFmtId="169" formatCode="#,##0;\(#,##0\);\-"/>
    <numFmt numFmtId="170" formatCode="0"/>
    <numFmt numFmtId="171" formatCode="#,##0"/>
    <numFmt numFmtId="172" formatCode="0%"/>
    <numFmt numFmtId="173" formatCode="mmm"/>
    <numFmt numFmtId="174" formatCode="0.000000"/>
  </numFmts>
  <fonts count="2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84B45"/>
      <name val="Arial"/>
      <family val="0"/>
      <charset val="1"/>
    </font>
    <font>
      <i val="true"/>
      <sz val="10"/>
      <color rgb="FF52676C"/>
      <name val="Arial"/>
      <family val="0"/>
      <charset val="1"/>
    </font>
    <font>
      <b val="true"/>
      <sz val="12"/>
      <color rgb="FF084B45"/>
      <name val="Arial"/>
      <family val="0"/>
      <charset val="1"/>
    </font>
    <font>
      <b val="true"/>
      <sz val="10"/>
      <color rgb="FF142428"/>
      <name val="Arial"/>
      <family val="0"/>
      <charset val="1"/>
    </font>
    <font>
      <sz val="10"/>
      <color rgb="FF142428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22"/>
      <color rgb="FF084B45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8"/>
      <color rgb="FF52676C"/>
      <name val="Arial"/>
      <family val="0"/>
      <charset val="1"/>
    </font>
    <font>
      <b val="true"/>
      <sz val="18"/>
      <color rgb="FF084B45"/>
      <name val="Arial"/>
      <family val="0"/>
      <charset val="1"/>
    </font>
    <font>
      <sz val="8"/>
      <color rgb="FF52676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Calibri"/>
      <family val="2"/>
      <charset val="1"/>
    </font>
    <font>
      <i val="true"/>
      <sz val="9"/>
      <color rgb="FF52676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084B4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084B4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A8"/>
        <bgColor rgb="FFFFF0CC"/>
      </patternFill>
    </fill>
    <fill>
      <patternFill patternType="solid">
        <fgColor rgb="FFE3F0EE"/>
        <bgColor rgb="FFDDF0E3"/>
      </patternFill>
    </fill>
    <fill>
      <patternFill patternType="solid">
        <fgColor rgb="FF0B6A62"/>
        <bgColor rgb="FF1E6B3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FDAD8"/>
      </left>
      <right style="thin">
        <color rgb="FFCFDAD8"/>
      </right>
      <top style="thin">
        <color rgb="FFCFDAD8"/>
      </top>
      <bottom style="thin">
        <color rgb="FFCFDAD8"/>
      </bottom>
      <diagonal/>
    </border>
    <border diagonalUp="false" diagonalDown="false">
      <left/>
      <right/>
      <top/>
      <bottom style="medium">
        <color rgb="FF0B6A62"/>
      </bottom>
      <diagonal/>
    </border>
    <border diagonalUp="false" diagonalDown="false">
      <left/>
      <right/>
      <top/>
      <bottom style="thin">
        <color rgb="FFCFDA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22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2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ont>
        <name val="Arial"/>
        <charset val="1"/>
        <family val="0"/>
        <b val="1"/>
        <color rgb="FF1E6B3A"/>
      </font>
      <fill>
        <patternFill>
          <bgColor rgb="FFDDF0E3"/>
        </patternFill>
      </fill>
    </dxf>
    <dxf>
      <font>
        <name val="Arial"/>
        <charset val="1"/>
        <family val="0"/>
        <b val="1"/>
        <color rgb="FF8A5A00"/>
      </font>
      <fill>
        <patternFill>
          <bgColor rgb="FFFFF0CC"/>
        </patternFill>
      </fill>
    </dxf>
    <dxf>
      <font>
        <name val="Arial"/>
        <charset val="1"/>
        <family val="0"/>
        <b val="1"/>
        <color rgb="FF9B1C1C"/>
      </font>
      <fill>
        <patternFill>
          <bgColor rgb="FFFADADD"/>
        </patternFill>
      </fill>
    </dxf>
    <dxf>
      <font>
        <name val="Arial"/>
        <charset val="1"/>
        <family val="0"/>
        <b val="1"/>
        <color rgb="FF1E6B3A"/>
      </font>
    </dxf>
    <dxf>
      <font>
        <name val="Arial"/>
        <charset val="1"/>
        <family val="0"/>
        <b val="1"/>
        <color rgb="FF9B1C1C"/>
      </font>
    </dxf>
    <dxf>
      <fill>
        <patternFill patternType="solid">
          <fgColor rgb="FF0B6A6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42428"/>
          <bgColor rgb="FF000000"/>
        </patternFill>
      </fill>
    </dxf>
    <dxf>
      <fill>
        <patternFill patternType="solid">
          <fgColor rgb="FF1E6B3A"/>
          <bgColor rgb="FF000000"/>
        </patternFill>
      </fill>
    </dxf>
    <dxf>
      <fill>
        <patternFill patternType="solid">
          <fgColor rgb="FF9B1C1C"/>
          <bgColor rgb="FF000000"/>
        </patternFill>
      </fill>
    </dxf>
    <dxf>
      <fill>
        <patternFill patternType="solid">
          <fgColor rgb="FFFADADD"/>
          <bgColor rgb="FF000000"/>
        </patternFill>
      </fill>
    </dxf>
    <dxf>
      <fill>
        <patternFill patternType="solid">
          <fgColor rgb="FFFFF0CC"/>
          <bgColor rgb="FF000000"/>
        </patternFill>
      </fill>
    </dxf>
    <dxf>
      <fill>
        <patternFill patternType="solid">
          <fgColor rgb="FF8A5A00"/>
          <bgColor rgb="FF000000"/>
        </patternFill>
      </fill>
    </dxf>
    <dxf>
      <font>
        <name val="Arial"/>
        <charset val="1"/>
        <family val="0"/>
        <color rgb="FF9B1C1C"/>
      </font>
    </dxf>
    <dxf>
      <fill>
        <patternFill patternType="solid">
          <fgColor rgb="FFDDF0E3"/>
          <bgColor rgb="FF000000"/>
        </patternFill>
      </fill>
    </dxf>
    <dxf>
      <fill>
        <patternFill patternType="solid">
          <fgColor rgb="FFECEFEF"/>
          <bgColor rgb="FF000000"/>
        </patternFill>
      </fill>
    </dxf>
    <dxf>
      <fill>
        <patternFill patternType="solid">
          <fgColor rgb="FF52676C"/>
          <bgColor rgb="FF000000"/>
        </patternFill>
      </fill>
    </dxf>
    <dxf>
      <font>
        <name val="Arial"/>
        <charset val="1"/>
        <family val="0"/>
        <b val="1"/>
        <color rgb="FF52676C"/>
      </font>
      <fill>
        <patternFill>
          <bgColor rgb="FFECEFE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0"/>
      <rgbColor rgb="FF800080"/>
      <rgbColor rgb="FF0B6A62"/>
      <rgbColor rgb="FFA9BDBA"/>
      <rgbColor rgb="FF878787"/>
      <rgbColor rgb="FF9999FF"/>
      <rgbColor rgb="FF993366"/>
      <rgbColor rgb="FFFFF0CC"/>
      <rgbColor rgb="FFE3F0EE"/>
      <rgbColor rgb="FF660066"/>
      <rgbColor rgb="FFFF8080"/>
      <rgbColor rgb="FF0066CC"/>
      <rgbColor rgb="FFCFDAD8"/>
      <rgbColor rgb="FF000080"/>
      <rgbColor rgb="FFFF00FF"/>
      <rgbColor rgb="FFFFFF00"/>
      <rgbColor rgb="FF00FFFF"/>
      <rgbColor rgb="FF800080"/>
      <rgbColor rgb="FF800000"/>
      <rgbColor rgb="FF1E6B3A"/>
      <rgbColor rgb="FF0000FF"/>
      <rgbColor rgb="FF00CCFF"/>
      <rgbColor rgb="FFECEFEF"/>
      <rgbColor rgb="FFDDF0E3"/>
      <rgbColor rgb="FFFFF2A8"/>
      <rgbColor rgb="FFD9D9D9"/>
      <rgbColor rgb="FFFF99CC"/>
      <rgbColor rgb="FFCC99FF"/>
      <rgbColor rgb="FFFADADD"/>
      <rgbColor rgb="FF3366FF"/>
      <rgbColor rgb="FF33CCCC"/>
      <rgbColor rgb="FF99CC00"/>
      <rgbColor rgb="FFFFCC00"/>
      <rgbColor rgb="FFD9A400"/>
      <rgbColor rgb="FFFF6600"/>
      <rgbColor rgb="FF52676C"/>
      <rgbColor rgb="FF969696"/>
      <rgbColor rgb="FF084B45"/>
      <rgbColor rgb="FF339966"/>
      <rgbColor rgb="FF142428"/>
      <rgbColor rgb="FF333300"/>
      <rgbColor rgb="FF9B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Meta x realizado por consultor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Painel!C11</c:f>
              <c:strCache>
                <c:ptCount val="1"/>
                <c:pt idx="0">
                  <c:v>Meta (R$)</c:v>
                </c:pt>
              </c:strCache>
            </c:strRef>
          </c:tx>
          <c:spPr>
            <a:solidFill>
              <a:srgbClr val="a9bdba"/>
            </a:solidFill>
            <a:ln w="0">
              <a:solidFill>
                <a:srgbClr val="a9bdb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Painel!$B$12:$B$17</c:f>
              <c:strCache>
                <c:ptCount val="6"/>
                <c:pt idx="0">
                  <c:v>Ana Souza</c:v>
                </c:pt>
                <c:pt idx="1">
                  <c:v>Bruno Lima</c:v>
                </c:pt>
                <c:pt idx="2">
                  <c:v>Carla Mendes</c:v>
                </c:pt>
                <c:pt idx="3">
                  <c:v>Diego Rocha</c:v>
                </c:pt>
                <c:pt idx="4">
                  <c:v>Elisa Prado</c:v>
                </c:pt>
                <c:pt idx="5">
                  <c:v>Felipe Duarte</c:v>
                </c:pt>
              </c:strCache>
            </c:strRef>
          </c:cat>
          <c:val>
            <c:numRef>
              <c:f>Painel!$C$12:$C$17</c:f>
              <c:numCache>
                <c:formatCode>"R$ "#,##0;"(R$ "#,##0\);\-</c:formatCode>
                <c:ptCount val="6"/>
                <c:pt idx="0">
                  <c:v>81000</c:v>
                </c:pt>
                <c:pt idx="1">
                  <c:v>68000</c:v>
                </c:pt>
                <c:pt idx="2">
                  <c:v>55000</c:v>
                </c:pt>
                <c:pt idx="3">
                  <c:v>45000</c:v>
                </c:pt>
                <c:pt idx="4">
                  <c:v>48000</c:v>
                </c:pt>
                <c:pt idx="5">
                  <c:v>58000</c:v>
                </c:pt>
              </c:numCache>
            </c:numRef>
          </c:val>
        </c:ser>
        <c:ser>
          <c:idx val="1"/>
          <c:order val="1"/>
          <c:tx>
            <c:strRef>
              <c:f>Painel!D11</c:f>
              <c:strCache>
                <c:ptCount val="1"/>
                <c:pt idx="0">
                  <c:v>Realizado (R$)</c:v>
                </c:pt>
              </c:strCache>
            </c:strRef>
          </c:tx>
          <c:spPr>
            <a:solidFill>
              <a:srgbClr val="0b6a62"/>
            </a:solidFill>
            <a:ln w="0">
              <a:solidFill>
                <a:srgbClr val="0b6a62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Painel!$B$12:$B$17</c:f>
              <c:strCache>
                <c:ptCount val="6"/>
                <c:pt idx="0">
                  <c:v>Ana Souza</c:v>
                </c:pt>
                <c:pt idx="1">
                  <c:v>Bruno Lima</c:v>
                </c:pt>
                <c:pt idx="2">
                  <c:v>Carla Mendes</c:v>
                </c:pt>
                <c:pt idx="3">
                  <c:v>Diego Rocha</c:v>
                </c:pt>
                <c:pt idx="4">
                  <c:v>Elisa Prado</c:v>
                </c:pt>
                <c:pt idx="5">
                  <c:v>Felipe Duarte</c:v>
                </c:pt>
              </c:strCache>
            </c:strRef>
          </c:cat>
          <c:val>
            <c:numRef>
              <c:f>Painel!$D$12:$D$17</c:f>
              <c:numCache>
                <c:formatCode>"R$ "#,##0;"(R$ "#,##0\);\-</c:formatCode>
                <c:ptCount val="6"/>
                <c:pt idx="0">
                  <c:v>8300</c:v>
                </c:pt>
                <c:pt idx="1">
                  <c:v>43400</c:v>
                </c:pt>
                <c:pt idx="2">
                  <c:v>22900</c:v>
                </c:pt>
                <c:pt idx="3">
                  <c:v>61600</c:v>
                </c:pt>
                <c:pt idx="4">
                  <c:v>35000</c:v>
                </c:pt>
                <c:pt idx="5">
                  <c:v>50400</c:v>
                </c:pt>
              </c:numCache>
            </c:numRef>
          </c:val>
        </c:ser>
        <c:gapWidth val="60"/>
        <c:overlap val="0"/>
        <c:axId val="91167275"/>
        <c:axId val="14277939"/>
      </c:barChart>
      <c:catAx>
        <c:axId val="911672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77939"/>
        <c:crosses val="autoZero"/>
        <c:auto val="1"/>
        <c:lblAlgn val="ctr"/>
        <c:lblOffset val="100"/>
        <c:noMultiLvlLbl val="0"/>
      </c:catAx>
      <c:valAx>
        <c:axId val="142779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16727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Funil: valor aberto e ponderado por etapa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Painel!D30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rgbClr val="a9bdba"/>
            </a:solidFill>
            <a:ln w="0">
              <a:solidFill>
                <a:srgbClr val="a9bdb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Painel!$B$31:$B$34</c:f>
              <c:strCache>
                <c:ptCount val="4"/>
                <c:pt idx="0">
                  <c:v>Prospecção</c:v>
                </c:pt>
                <c:pt idx="1">
                  <c:v>Qualificação</c:v>
                </c:pt>
                <c:pt idx="2">
                  <c:v>Proposta enviada</c:v>
                </c:pt>
                <c:pt idx="3">
                  <c:v>Negociação</c:v>
                </c:pt>
              </c:strCache>
            </c:strRef>
          </c:cat>
          <c:val>
            <c:numRef>
              <c:f>Painel!$D$31:$D$34</c:f>
              <c:numCache>
                <c:formatCode>"R$ "#,##0;"(R$ "#,##0\);\-</c:formatCode>
                <c:ptCount val="4"/>
                <c:pt idx="0">
                  <c:v>222300</c:v>
                </c:pt>
                <c:pt idx="1">
                  <c:v>474500</c:v>
                </c:pt>
                <c:pt idx="2">
                  <c:v>348100</c:v>
                </c:pt>
                <c:pt idx="3">
                  <c:v>578800</c:v>
                </c:pt>
              </c:numCache>
            </c:numRef>
          </c:val>
        </c:ser>
        <c:ser>
          <c:idx val="1"/>
          <c:order val="1"/>
          <c:tx>
            <c:strRef>
              <c:f>Painel!E30</c:f>
              <c:strCache>
                <c:ptCount val="1"/>
                <c:pt idx="0">
                  <c:v>Ponderado (R$)</c:v>
                </c:pt>
              </c:strCache>
            </c:strRef>
          </c:tx>
          <c:spPr>
            <a:solidFill>
              <a:srgbClr val="0b6a62"/>
            </a:solidFill>
            <a:ln w="0">
              <a:solidFill>
                <a:srgbClr val="0b6a62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Painel!$B$31:$B$34</c:f>
              <c:strCache>
                <c:ptCount val="4"/>
                <c:pt idx="0">
                  <c:v>Prospecção</c:v>
                </c:pt>
                <c:pt idx="1">
                  <c:v>Qualificação</c:v>
                </c:pt>
                <c:pt idx="2">
                  <c:v>Proposta enviada</c:v>
                </c:pt>
                <c:pt idx="3">
                  <c:v>Negociação</c:v>
                </c:pt>
              </c:strCache>
            </c:strRef>
          </c:cat>
          <c:val>
            <c:numRef>
              <c:f>Painel!$E$31:$E$34</c:f>
              <c:numCache>
                <c:formatCode>"R$ "#,##0;"(R$ "#,##0\);\-</c:formatCode>
                <c:ptCount val="4"/>
                <c:pt idx="0">
                  <c:v>22230</c:v>
                </c:pt>
                <c:pt idx="1">
                  <c:v>118625</c:v>
                </c:pt>
                <c:pt idx="2">
                  <c:v>174050</c:v>
                </c:pt>
                <c:pt idx="3">
                  <c:v>434100</c:v>
                </c:pt>
              </c:numCache>
            </c:numRef>
          </c:val>
        </c:ser>
        <c:gapWidth val="50"/>
        <c:overlap val="0"/>
        <c:axId val="31077808"/>
        <c:axId val="1078424"/>
      </c:barChart>
      <c:catAx>
        <c:axId val="3107780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78424"/>
        <c:crosses val="autoZero"/>
        <c:auto val="1"/>
        <c:lblAlgn val="ctr"/>
        <c:lblOffset val="100"/>
        <c:noMultiLvlLbl val="0"/>
      </c:catAx>
      <c:valAx>
        <c:axId val="10784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7780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Meta x realizado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Painel!D47</c:f>
              <c:strCache>
                <c:ptCount val="1"/>
                <c:pt idx="0">
                  <c:v>Realizado</c:v>
                </c:pt>
              </c:strCache>
            </c:strRef>
          </c:tx>
          <c:spPr>
            <a:solidFill>
              <a:srgbClr val="0b6a62"/>
            </a:solidFill>
            <a:ln w="0">
              <a:solidFill>
                <a:srgbClr val="0b6a62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Painel!$B$48:$B$59</c:f>
              <c:strCache>
                <c:ptCount val="12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Painel!$D$48:$D$59</c:f>
              <c:numCache>
                <c:formatCode>"R$ "#,##0;"(R$ "#,##0\);\-</c:formatCode>
                <c:ptCount val="12"/>
                <c:pt idx="0">
                  <c:v>249500</c:v>
                </c:pt>
                <c:pt idx="1">
                  <c:v>324800</c:v>
                </c:pt>
                <c:pt idx="2">
                  <c:v>221300</c:v>
                </c:pt>
                <c:pt idx="3">
                  <c:v>122700</c:v>
                </c:pt>
                <c:pt idx="4">
                  <c:v>241100</c:v>
                </c:pt>
                <c:pt idx="5">
                  <c:v>421000</c:v>
                </c:pt>
                <c:pt idx="6">
                  <c:v>534100</c:v>
                </c:pt>
                <c:pt idx="7">
                  <c:v>365500</c:v>
                </c:pt>
                <c:pt idx="8">
                  <c:v>221600</c:v>
                </c:pt>
                <c:pt idx="9">
                  <c:v>52600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overlap val="0"/>
        <c:axId val="79892686"/>
        <c:axId val="15996074"/>
      </c:barChart>
      <c:lineChart>
        <c:grouping val="standard"/>
        <c:varyColors val="0"/>
        <c:ser>
          <c:idx val="1"/>
          <c:order val="1"/>
          <c:tx>
            <c:strRef>
              <c:f>Painel!C47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d9a400"/>
            </a:solidFill>
            <a:ln w="28080">
              <a:solidFill>
                <a:srgbClr val="d9a400"/>
              </a:solidFill>
              <a:round/>
            </a:ln>
          </c:spPr>
          <c:marker>
            <c:symbol val="circle"/>
            <c:size val="6"/>
            <c:spPr>
              <a:solidFill>
                <a:srgbClr val="d9a4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Painel!$B$48:$B$59</c:f>
              <c:strCache>
                <c:ptCount val="12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Painel!$C$48:$C$59</c:f>
              <c:numCache>
                <c:formatCode>"R$ "#,##0;"(R$ "#,##0\);\-</c:formatCode>
                <c:ptCount val="12"/>
                <c:pt idx="0">
                  <c:v>270000</c:v>
                </c:pt>
                <c:pt idx="1">
                  <c:v>301000</c:v>
                </c:pt>
                <c:pt idx="2">
                  <c:v>343000</c:v>
                </c:pt>
                <c:pt idx="3">
                  <c:v>313000</c:v>
                </c:pt>
                <c:pt idx="4">
                  <c:v>326000</c:v>
                </c:pt>
                <c:pt idx="5">
                  <c:v>307000</c:v>
                </c:pt>
                <c:pt idx="6">
                  <c:v>273000</c:v>
                </c:pt>
                <c:pt idx="7">
                  <c:v>339000</c:v>
                </c:pt>
                <c:pt idx="8">
                  <c:v>355000</c:v>
                </c:pt>
                <c:pt idx="9">
                  <c:v>343000</c:v>
                </c:pt>
                <c:pt idx="10">
                  <c:v>374000</c:v>
                </c:pt>
                <c:pt idx="11">
                  <c:v>311000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9892686"/>
        <c:axId val="15996074"/>
      </c:lineChart>
      <c:catAx>
        <c:axId val="798926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996074"/>
        <c:crosses val="autoZero"/>
        <c:auto val="1"/>
        <c:lblAlgn val="ctr"/>
        <c:lblOffset val="100"/>
        <c:noMultiLvlLbl val="0"/>
      </c:catAx>
      <c:valAx>
        <c:axId val="159960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9268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12</xdr:col>
      <xdr:colOff>1087560</xdr:colOff>
      <xdr:row>21</xdr:row>
      <xdr:rowOff>68760</xdr:rowOff>
    </xdr:to>
    <xdr:graphicFrame>
      <xdr:nvGraphicFramePr>
        <xdr:cNvPr id="0" name="Chart 1"/>
        <xdr:cNvGraphicFramePr/>
      </xdr:nvGraphicFramePr>
      <xdr:xfrm>
        <a:off x="6698160" y="2286000"/>
        <a:ext cx="655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28</xdr:row>
      <xdr:rowOff>0</xdr:rowOff>
    </xdr:from>
    <xdr:to>
      <xdr:col>12</xdr:col>
      <xdr:colOff>1087560</xdr:colOff>
      <xdr:row>40</xdr:row>
      <xdr:rowOff>68760</xdr:rowOff>
    </xdr:to>
    <xdr:graphicFrame>
      <xdr:nvGraphicFramePr>
        <xdr:cNvPr id="1" name="Chart 2"/>
        <xdr:cNvGraphicFramePr/>
      </xdr:nvGraphicFramePr>
      <xdr:xfrm>
        <a:off x="6698160" y="6286680"/>
        <a:ext cx="655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45</xdr:row>
      <xdr:rowOff>0</xdr:rowOff>
    </xdr:from>
    <xdr:to>
      <xdr:col>12</xdr:col>
      <xdr:colOff>1087560</xdr:colOff>
      <xdr:row>58</xdr:row>
      <xdr:rowOff>68760</xdr:rowOff>
    </xdr:to>
    <xdr:graphicFrame>
      <xdr:nvGraphicFramePr>
        <xdr:cNvPr id="2" name="Chart 3"/>
        <xdr:cNvGraphicFramePr/>
      </xdr:nvGraphicFramePr>
      <xdr:xfrm>
        <a:off x="6698160" y="9906120"/>
        <a:ext cx="655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2676C"/>
    <pageSetUpPr fitToPage="false"/>
  </sheetPr>
  <dimension ref="B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00"/>
  </cols>
  <sheetData>
    <row r="1" customFormat="false" ht="31.5" hidden="false" customHeight="tru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.75" hidden="false" customHeight="true" outlineLevel="0" collapsed="false">
      <c r="B5" s="4" t="s">
        <v>3</v>
      </c>
      <c r="C5" s="5" t="s">
        <v>4</v>
      </c>
    </row>
    <row r="6" customFormat="false" ht="15.75" hidden="false" customHeight="true" outlineLevel="0" collapsed="false">
      <c r="B6" s="4" t="s">
        <v>5</v>
      </c>
      <c r="C6" s="5" t="s">
        <v>6</v>
      </c>
    </row>
    <row r="7" customFormat="false" ht="15.75" hidden="false" customHeight="true" outlineLevel="0" collapsed="false">
      <c r="B7" s="4" t="s">
        <v>7</v>
      </c>
      <c r="C7" s="5" t="s">
        <v>8</v>
      </c>
    </row>
    <row r="9" customFormat="false" ht="15" hidden="false" customHeight="false" outlineLevel="0" collapsed="false">
      <c r="B9" s="3" t="s">
        <v>9</v>
      </c>
    </row>
    <row r="10" customFormat="false" ht="15.75" hidden="false" customHeight="true" outlineLevel="0" collapsed="false">
      <c r="B10" s="4" t="s">
        <v>10</v>
      </c>
      <c r="C10" s="5" t="s">
        <v>11</v>
      </c>
    </row>
    <row r="11" customFormat="false" ht="30" hidden="false" customHeight="true" outlineLevel="0" collapsed="false">
      <c r="B11" s="4" t="s">
        <v>12</v>
      </c>
      <c r="C11" s="5" t="s">
        <v>13</v>
      </c>
    </row>
    <row r="12" customFormat="false" ht="15.75" hidden="false" customHeight="true" outlineLevel="0" collapsed="false">
      <c r="B12" s="4" t="s">
        <v>14</v>
      </c>
      <c r="C12" s="5" t="s">
        <v>15</v>
      </c>
    </row>
    <row r="13" customFormat="false" ht="30" hidden="false" customHeight="true" outlineLevel="0" collapsed="false">
      <c r="B13" s="4" t="s">
        <v>16</v>
      </c>
      <c r="C13" s="5" t="s">
        <v>17</v>
      </c>
    </row>
    <row r="14" customFormat="false" ht="15.75" hidden="false" customHeight="true" outlineLevel="0" collapsed="false">
      <c r="B14" s="4" t="s">
        <v>18</v>
      </c>
      <c r="C14" s="5" t="s">
        <v>19</v>
      </c>
    </row>
    <row r="16" customFormat="false" ht="15" hidden="false" customHeight="false" outlineLevel="0" collapsed="false">
      <c r="B16" s="3" t="s">
        <v>20</v>
      </c>
    </row>
    <row r="17" customFormat="false" ht="15" hidden="false" customHeight="false" outlineLevel="0" collapsed="false">
      <c r="B17" s="6" t="s">
        <v>21</v>
      </c>
      <c r="C17" s="7" t="s">
        <v>22</v>
      </c>
    </row>
    <row r="18" customFormat="false" ht="15" hidden="false" customHeight="false" outlineLevel="0" collapsed="false">
      <c r="B18" s="8" t="s">
        <v>23</v>
      </c>
      <c r="C18" s="7" t="s">
        <v>24</v>
      </c>
    </row>
    <row r="19" customFormat="false" ht="15" hidden="false" customHeight="false" outlineLevel="0" collapsed="false">
      <c r="B19" s="9" t="s">
        <v>25</v>
      </c>
      <c r="C19" s="7" t="s">
        <v>26</v>
      </c>
    </row>
    <row r="20" customFormat="false" ht="15" hidden="false" customHeight="false" outlineLevel="0" collapsed="false">
      <c r="B20" s="10" t="s">
        <v>27</v>
      </c>
      <c r="C20" s="7" t="s">
        <v>28</v>
      </c>
    </row>
    <row r="22" customFormat="false" ht="15" hidden="false" customHeight="false" outlineLevel="0" collapsed="false">
      <c r="B22" s="3" t="s">
        <v>29</v>
      </c>
    </row>
    <row r="23" customFormat="false" ht="15.75" hidden="false" customHeight="true" outlineLevel="0" collapsed="false">
      <c r="B23" s="4" t="s">
        <v>30</v>
      </c>
      <c r="C23" s="5" t="s">
        <v>31</v>
      </c>
    </row>
    <row r="24" customFormat="false" ht="30" hidden="false" customHeight="true" outlineLevel="0" collapsed="false">
      <c r="B24" s="4" t="s">
        <v>32</v>
      </c>
      <c r="C24" s="5" t="s">
        <v>33</v>
      </c>
    </row>
    <row r="25" customFormat="false" ht="15.75" hidden="false" customHeight="true" outlineLevel="0" collapsed="false">
      <c r="B25" s="4" t="s">
        <v>34</v>
      </c>
      <c r="C25" s="5" t="s">
        <v>35</v>
      </c>
    </row>
    <row r="26" customFormat="false" ht="15.75" hidden="false" customHeight="true" outlineLevel="0" collapsed="false">
      <c r="B26" s="4" t="s">
        <v>36</v>
      </c>
      <c r="C26" s="5" t="s">
        <v>37</v>
      </c>
    </row>
    <row r="27" customFormat="false" ht="15.75" hidden="false" customHeight="true" outlineLevel="0" collapsed="false">
      <c r="B27" s="4" t="s">
        <v>38</v>
      </c>
      <c r="C27" s="5" t="s">
        <v>39</v>
      </c>
    </row>
    <row r="28" customFormat="false" ht="30" hidden="false" customHeight="true" outlineLevel="0" collapsed="false">
      <c r="B28" s="4" t="s">
        <v>40</v>
      </c>
      <c r="C28" s="5" t="s">
        <v>41</v>
      </c>
    </row>
    <row r="30" customFormat="false" ht="15" hidden="false" customHeight="false" outlineLevel="0" collapsed="false">
      <c r="B30" s="3" t="s">
        <v>42</v>
      </c>
    </row>
    <row r="31" customFormat="false" ht="30" hidden="false" customHeight="true" outlineLevel="0" collapsed="false">
      <c r="B31" s="4" t="s">
        <v>43</v>
      </c>
      <c r="C31" s="5" t="s">
        <v>44</v>
      </c>
    </row>
    <row r="32" customFormat="false" ht="30" hidden="false" customHeight="true" outlineLevel="0" collapsed="false">
      <c r="B32" s="4" t="s">
        <v>45</v>
      </c>
      <c r="C32" s="5" t="s">
        <v>46</v>
      </c>
    </row>
    <row r="33" customFormat="false" ht="30" hidden="false" customHeight="true" outlineLevel="0" collapsed="false">
      <c r="B33" s="4" t="s">
        <v>47</v>
      </c>
      <c r="C33" s="5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6A62"/>
    <pageSetUpPr fitToPage="true"/>
  </sheetPr>
  <dimension ref="B1:M6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5.51"/>
  </cols>
  <sheetData>
    <row r="1" customFormat="false" ht="33.75" hidden="false" customHeight="true" outlineLevel="0" collapsed="false">
      <c r="B1" s="11" t="s">
        <v>49</v>
      </c>
    </row>
    <row r="2" customFormat="false" ht="15" hidden="false" customHeight="false" outlineLevel="0" collapsed="false">
      <c r="B2" s="2" t="s">
        <v>50</v>
      </c>
    </row>
    <row r="4" customFormat="false" ht="15" hidden="false" customHeight="false" outlineLevel="0" collapsed="false">
      <c r="B4" s="12" t="s">
        <v>51</v>
      </c>
      <c r="C4" s="13" t="n">
        <v>46266</v>
      </c>
      <c r="E4" s="12" t="s">
        <v>52</v>
      </c>
      <c r="F4" s="14" t="s">
        <v>53</v>
      </c>
      <c r="H4" s="12" t="s">
        <v>43</v>
      </c>
      <c r="I4" s="15" t="n">
        <f aca="false">DataRef</f>
        <v>46308</v>
      </c>
    </row>
    <row r="6" customFormat="false" ht="19.5" hidden="false" customHeight="true" outlineLevel="0" collapsed="false">
      <c r="B6" s="16" t="s">
        <v>54</v>
      </c>
      <c r="C6" s="16"/>
      <c r="D6" s="16" t="s">
        <v>55</v>
      </c>
      <c r="E6" s="16"/>
      <c r="F6" s="16" t="s">
        <v>56</v>
      </c>
      <c r="G6" s="16"/>
      <c r="H6" s="16" t="s">
        <v>57</v>
      </c>
      <c r="I6" s="16"/>
      <c r="J6" s="16" t="s">
        <v>58</v>
      </c>
      <c r="K6" s="16"/>
      <c r="L6" s="16" t="s">
        <v>59</v>
      </c>
      <c r="M6" s="16"/>
    </row>
    <row r="7" customFormat="false" ht="33.75" hidden="false" customHeight="true" outlineLevel="0" collapsed="false">
      <c r="B7" s="17" t="n">
        <f aca="false">IF($F$4="Todos",INDEX(Metas!$C$11:$N$11,MATCH(MesIni,Metas!$C$4:$N$4,0)),INDEX(Metas!$C$5:$N$10,MATCH($F$4,Metas!$A$5:$A$10,0),MATCH(MesIni,Metas!$C$4:$N$4,0)))</f>
        <v>355000</v>
      </c>
      <c r="C7" s="17"/>
      <c r="D7" s="17" t="n">
        <f aca="false">SUMIFS(op_Valor,op_Status,"Ganha",op_Consultor,CritConsultor,op_Fech,"&gt;="&amp;MesIni,op_Fech,"&lt;="&amp;MesFim)</f>
        <v>221600</v>
      </c>
      <c r="E7" s="17"/>
      <c r="F7" s="18" t="n">
        <f aca="false">IFERROR(D7/B7,0)</f>
        <v>0.624225352112676</v>
      </c>
      <c r="G7" s="18"/>
      <c r="H7" s="17" t="n">
        <f aca="false">SUMIFS(op_Valor,op_Status,"Aberta",op_Consultor,CritConsultor)</f>
        <v>1623700</v>
      </c>
      <c r="I7" s="17"/>
      <c r="J7" s="17" t="n">
        <f aca="false">SUMIFS(op_Pond,op_Status,"Aberta",op_Consultor,CritConsultor)</f>
        <v>749005</v>
      </c>
      <c r="K7" s="17"/>
      <c r="L7" s="18" t="n">
        <f aca="false">IFERROR(COUNTIFS(op_Status,"Ganha",op_Consultor,CritConsultor)/(COUNTIFS(op_Status,"Ganha",op_Consultor,CritConsultor)+COUNTIFS(op_Status,"Perdida",op_Consultor,CritConsultor)),0)</f>
        <v>0.578544061302682</v>
      </c>
      <c r="M7" s="18"/>
    </row>
    <row r="8" customFormat="false" ht="18" hidden="false" customHeight="true" outlineLevel="0" collapsed="false">
      <c r="B8" s="19" t="s">
        <v>60</v>
      </c>
      <c r="C8" s="19"/>
      <c r="D8" s="19" t="s">
        <v>61</v>
      </c>
      <c r="E8" s="19"/>
      <c r="F8" s="19" t="str">
        <f aca="false">IF(F7&gt;=1,"Meta batida",IF(F7&gt;=0.8,"Quase lá","Abaixo da meta"))</f>
        <v>Abaixo da meta</v>
      </c>
      <c r="G8" s="19"/>
      <c r="H8" s="19" t="s">
        <v>62</v>
      </c>
      <c r="I8" s="19"/>
      <c r="J8" s="19" t="s">
        <v>63</v>
      </c>
      <c r="K8" s="19"/>
      <c r="L8" s="19" t="s">
        <v>64</v>
      </c>
      <c r="M8" s="19"/>
    </row>
    <row r="10" customFormat="false" ht="15" hidden="false" customHeight="false" outlineLevel="0" collapsed="false">
      <c r="B10" s="3" t="s">
        <v>65</v>
      </c>
    </row>
    <row r="11" customFormat="false" ht="30" hidden="false" customHeight="true" outlineLevel="0" collapsed="false">
      <c r="B11" s="20" t="s">
        <v>52</v>
      </c>
      <c r="C11" s="21" t="s">
        <v>66</v>
      </c>
      <c r="D11" s="21" t="s">
        <v>67</v>
      </c>
      <c r="E11" s="21" t="s">
        <v>32</v>
      </c>
      <c r="F11" s="21" t="s">
        <v>68</v>
      </c>
      <c r="G11" s="21" t="s">
        <v>69</v>
      </c>
    </row>
    <row r="12" customFormat="false" ht="15" hidden="false" customHeight="false" outlineLevel="0" collapsed="false">
      <c r="B12" s="22" t="str">
        <f aca="false">Parâmetros!$E$18</f>
        <v>Ana Souza</v>
      </c>
      <c r="C12" s="23" t="n">
        <f aca="false">INDEX(Metas!$C$5:$N$10,MATCH($B12,Metas!$A$5:$A$10,0),MATCH(MesIni,Metas!$C$4:$N$4,0))</f>
        <v>81000</v>
      </c>
      <c r="D12" s="23" t="n">
        <f aca="false">SUMIFS(op_Valor,op_Status,"Ganha",op_Consultor,$B12,op_Fech,"&gt;="&amp;MesIni,op_Fech,"&lt;="&amp;MesFim)</f>
        <v>8300</v>
      </c>
      <c r="E12" s="24" t="n">
        <f aca="false">IFERROR(D12/C12,0)</f>
        <v>0.102469135802469</v>
      </c>
      <c r="F12" s="23" t="n">
        <f aca="false">D12-C12</f>
        <v>-72700</v>
      </c>
      <c r="G12" s="25" t="str">
        <f aca="false">IF(E12&gt;=1,"Meta batida",IF(E12&gt;=0.8,"Quase lá","Abaixo"))</f>
        <v>Abaixo</v>
      </c>
    </row>
    <row r="13" customFormat="false" ht="15" hidden="false" customHeight="false" outlineLevel="0" collapsed="false">
      <c r="B13" s="22" t="str">
        <f aca="false">Parâmetros!$E$19</f>
        <v>Bruno Lima</v>
      </c>
      <c r="C13" s="23" t="n">
        <f aca="false">INDEX(Metas!$C$5:$N$10,MATCH($B13,Metas!$A$5:$A$10,0),MATCH(MesIni,Metas!$C$4:$N$4,0))</f>
        <v>68000</v>
      </c>
      <c r="D13" s="23" t="n">
        <f aca="false">SUMIFS(op_Valor,op_Status,"Ganha",op_Consultor,$B13,op_Fech,"&gt;="&amp;MesIni,op_Fech,"&lt;="&amp;MesFim)</f>
        <v>43400</v>
      </c>
      <c r="E13" s="24" t="n">
        <f aca="false">IFERROR(D13/C13,0)</f>
        <v>0.638235294117647</v>
      </c>
      <c r="F13" s="23" t="n">
        <f aca="false">D13-C13</f>
        <v>-24600</v>
      </c>
      <c r="G13" s="25" t="str">
        <f aca="false">IF(E13&gt;=1,"Meta batida",IF(E13&gt;=0.8,"Quase lá","Abaixo"))</f>
        <v>Abaixo</v>
      </c>
    </row>
    <row r="14" customFormat="false" ht="15" hidden="false" customHeight="false" outlineLevel="0" collapsed="false">
      <c r="B14" s="22" t="str">
        <f aca="false">Parâmetros!$E$20</f>
        <v>Carla Mendes</v>
      </c>
      <c r="C14" s="23" t="n">
        <f aca="false">INDEX(Metas!$C$5:$N$10,MATCH($B14,Metas!$A$5:$A$10,0),MATCH(MesIni,Metas!$C$4:$N$4,0))</f>
        <v>55000</v>
      </c>
      <c r="D14" s="23" t="n">
        <f aca="false">SUMIFS(op_Valor,op_Status,"Ganha",op_Consultor,$B14,op_Fech,"&gt;="&amp;MesIni,op_Fech,"&lt;="&amp;MesFim)</f>
        <v>22900</v>
      </c>
      <c r="E14" s="24" t="n">
        <f aca="false">IFERROR(D14/C14,0)</f>
        <v>0.416363636363636</v>
      </c>
      <c r="F14" s="23" t="n">
        <f aca="false">D14-C14</f>
        <v>-32100</v>
      </c>
      <c r="G14" s="25" t="str">
        <f aca="false">IF(E14&gt;=1,"Meta batida",IF(E14&gt;=0.8,"Quase lá","Abaixo"))</f>
        <v>Abaixo</v>
      </c>
    </row>
    <row r="15" customFormat="false" ht="15" hidden="false" customHeight="false" outlineLevel="0" collapsed="false">
      <c r="B15" s="22" t="str">
        <f aca="false">Parâmetros!$E$21</f>
        <v>Diego Rocha</v>
      </c>
      <c r="C15" s="23" t="n">
        <f aca="false">INDEX(Metas!$C$5:$N$10,MATCH($B15,Metas!$A$5:$A$10,0),MATCH(MesIni,Metas!$C$4:$N$4,0))</f>
        <v>45000</v>
      </c>
      <c r="D15" s="23" t="n">
        <f aca="false">SUMIFS(op_Valor,op_Status,"Ganha",op_Consultor,$B15,op_Fech,"&gt;="&amp;MesIni,op_Fech,"&lt;="&amp;MesFim)</f>
        <v>61600</v>
      </c>
      <c r="E15" s="24" t="n">
        <f aca="false">IFERROR(D15/C15,0)</f>
        <v>1.36888888888889</v>
      </c>
      <c r="F15" s="23" t="n">
        <f aca="false">D15-C15</f>
        <v>16600</v>
      </c>
      <c r="G15" s="25" t="str">
        <f aca="false">IF(E15&gt;=1,"Meta batida",IF(E15&gt;=0.8,"Quase lá","Abaixo"))</f>
        <v>Meta batida</v>
      </c>
    </row>
    <row r="16" customFormat="false" ht="15" hidden="false" customHeight="false" outlineLevel="0" collapsed="false">
      <c r="B16" s="22" t="str">
        <f aca="false">Parâmetros!$E$22</f>
        <v>Elisa Prado</v>
      </c>
      <c r="C16" s="23" t="n">
        <f aca="false">INDEX(Metas!$C$5:$N$10,MATCH($B16,Metas!$A$5:$A$10,0),MATCH(MesIni,Metas!$C$4:$N$4,0))</f>
        <v>48000</v>
      </c>
      <c r="D16" s="23" t="n">
        <f aca="false">SUMIFS(op_Valor,op_Status,"Ganha",op_Consultor,$B16,op_Fech,"&gt;="&amp;MesIni,op_Fech,"&lt;="&amp;MesFim)</f>
        <v>35000</v>
      </c>
      <c r="E16" s="24" t="n">
        <f aca="false">IFERROR(D16/C16,0)</f>
        <v>0.729166666666667</v>
      </c>
      <c r="F16" s="23" t="n">
        <f aca="false">D16-C16</f>
        <v>-13000</v>
      </c>
      <c r="G16" s="25" t="str">
        <f aca="false">IF(E16&gt;=1,"Meta batida",IF(E16&gt;=0.8,"Quase lá","Abaixo"))</f>
        <v>Abaixo</v>
      </c>
    </row>
    <row r="17" customFormat="false" ht="15" hidden="false" customHeight="false" outlineLevel="0" collapsed="false">
      <c r="B17" s="22" t="str">
        <f aca="false">Parâmetros!$E$23</f>
        <v>Felipe Duarte</v>
      </c>
      <c r="C17" s="23" t="n">
        <f aca="false">INDEX(Metas!$C$5:$N$10,MATCH($B17,Metas!$A$5:$A$10,0),MATCH(MesIni,Metas!$C$4:$N$4,0))</f>
        <v>58000</v>
      </c>
      <c r="D17" s="23" t="n">
        <f aca="false">SUMIFS(op_Valor,op_Status,"Ganha",op_Consultor,$B17,op_Fech,"&gt;="&amp;MesIni,op_Fech,"&lt;="&amp;MesFim)</f>
        <v>50400</v>
      </c>
      <c r="E17" s="24" t="n">
        <f aca="false">IFERROR(D17/C17,0)</f>
        <v>0.868965517241379</v>
      </c>
      <c r="F17" s="23" t="n">
        <f aca="false">D17-C17</f>
        <v>-7600</v>
      </c>
      <c r="G17" s="25" t="str">
        <f aca="false">IF(E17&gt;=1,"Meta batida",IF(E17&gt;=0.8,"Quase lá","Abaixo"))</f>
        <v>Quase lá</v>
      </c>
    </row>
    <row r="18" customFormat="false" ht="15" hidden="false" customHeight="false" outlineLevel="0" collapsed="false">
      <c r="B18" s="26" t="s">
        <v>70</v>
      </c>
      <c r="C18" s="27" t="n">
        <f aca="false">SUM(C12:C17)</f>
        <v>355000</v>
      </c>
      <c r="D18" s="27" t="n">
        <f aca="false">SUM(D12:D17)</f>
        <v>221600</v>
      </c>
      <c r="E18" s="28" t="n">
        <f aca="false">IFERROR(D18/C18,0)</f>
        <v>0.624225352112676</v>
      </c>
      <c r="F18" s="27" t="n">
        <f aca="false">D18-C18</f>
        <v>-133400</v>
      </c>
      <c r="G18" s="29" t="str">
        <f aca="false">IF(E18&gt;=1,"Meta batida",IF(E18&gt;=0.8,"Quase lá","Abaixo"))</f>
        <v>Abaixo</v>
      </c>
    </row>
    <row r="20" customFormat="false" ht="15" hidden="false" customHeight="false" outlineLevel="0" collapsed="false">
      <c r="B20" s="3" t="s">
        <v>71</v>
      </c>
    </row>
    <row r="21" customFormat="false" ht="30" hidden="false" customHeight="true" outlineLevel="0" collapsed="false">
      <c r="B21" s="20" t="s">
        <v>72</v>
      </c>
      <c r="C21" s="21"/>
      <c r="D21" s="21"/>
      <c r="E21" s="21" t="s">
        <v>73</v>
      </c>
      <c r="F21" s="30" t="s">
        <v>74</v>
      </c>
    </row>
    <row r="22" customFormat="false" ht="15" hidden="false" customHeight="false" outlineLevel="0" collapsed="false">
      <c r="B22" s="31" t="str">
        <f aca="false">"Oportunidades paradas (mais de "&amp;DiasParada&amp;" dias)"</f>
        <v>Oportunidades paradas (mais de 45 dias)</v>
      </c>
      <c r="C22" s="32"/>
      <c r="D22" s="32"/>
      <c r="E22" s="33" t="n">
        <f aca="false">COUNTIFS(op_Alerta,"Parada",op_Consultor,CritConsultor)</f>
        <v>14</v>
      </c>
      <c r="F22" s="34" t="n">
        <f aca="false">SUMIFS(op_Valor,op_Alerta,"Parada",op_Consultor,CritConsultor)</f>
        <v>245400</v>
      </c>
    </row>
    <row r="23" customFormat="false" ht="15" hidden="false" customHeight="false" outlineLevel="0" collapsed="false">
      <c r="B23" s="31" t="s">
        <v>75</v>
      </c>
      <c r="C23" s="32"/>
      <c r="D23" s="32"/>
      <c r="E23" s="33" t="n">
        <f aca="false">COUNTIFS(op_Alerta,"Previsão vencida",op_Consultor,CritConsultor)</f>
        <v>33</v>
      </c>
      <c r="F23" s="34" t="n">
        <f aca="false">SUMIFS(op_Valor,op_Alerta,"Previsão vencida",op_Consultor,CritConsultor)</f>
        <v>700800</v>
      </c>
    </row>
    <row r="24" customFormat="false" ht="15" hidden="false" customHeight="false" outlineLevel="0" collapsed="false">
      <c r="B24" s="31" t="s">
        <v>76</v>
      </c>
      <c r="C24" s="32"/>
      <c r="D24" s="32"/>
      <c r="E24" s="33" t="n">
        <f aca="false">COUNTIFS(cl_Situacao,"Em risco",cl_Consultor,CritConsultor)</f>
        <v>8</v>
      </c>
      <c r="F24" s="34" t="n">
        <f aca="false">SUMIFS(cl_Total,cl_Situacao,"Em risco",cl_Consultor,CritConsultor)</f>
        <v>476400</v>
      </c>
    </row>
    <row r="25" customFormat="false" ht="15" hidden="false" customHeight="false" outlineLevel="0" collapsed="false">
      <c r="B25" s="31" t="s">
        <v>77</v>
      </c>
      <c r="C25" s="32"/>
      <c r="D25" s="32"/>
      <c r="E25" s="33" t="n">
        <f aca="false">COUNTIFS(cl_Situacao,"Inativo",cl_Consultor,CritConsultor)</f>
        <v>2</v>
      </c>
      <c r="F25" s="34" t="n">
        <f aca="false">SUMIFS(cl_Total,cl_Situacao,"Inativo",cl_Consultor,CritConsultor)</f>
        <v>79900</v>
      </c>
    </row>
    <row r="26" customFormat="false" ht="15" hidden="false" customHeight="false" outlineLevel="0" collapsed="false">
      <c r="B26" s="31" t="s">
        <v>78</v>
      </c>
      <c r="C26" s="32"/>
      <c r="D26" s="32"/>
      <c r="E26" s="33" t="n">
        <f aca="false">COUNTIFS(op_Status,"Ganha",op_Consultor,CritConsultor)</f>
        <v>151</v>
      </c>
      <c r="F26" s="34" t="n">
        <f aca="false">IFERROR(AVERAGEIFS(op_Valor,op_Status,"Ganha",op_Consultor,CritConsultor),0)</f>
        <v>21873.5099337748</v>
      </c>
    </row>
    <row r="27" customFormat="false" ht="15" hidden="false" customHeight="false" outlineLevel="0" collapsed="false">
      <c r="B27" s="31" t="s">
        <v>79</v>
      </c>
      <c r="C27" s="32"/>
      <c r="D27" s="32"/>
      <c r="E27" s="35" t="n">
        <f aca="false">IFERROR(AVERAGEIFS(op_Dias,op_Status,"Ganha",op_Consultor,CritConsultor),0)</f>
        <v>43.2450331125828</v>
      </c>
      <c r="F27" s="36"/>
    </row>
    <row r="29" customFormat="false" ht="15" hidden="false" customHeight="false" outlineLevel="0" collapsed="false">
      <c r="B29" s="3" t="s">
        <v>80</v>
      </c>
    </row>
    <row r="30" customFormat="false" ht="30" hidden="false" customHeight="true" outlineLevel="0" collapsed="false">
      <c r="B30" s="20" t="s">
        <v>81</v>
      </c>
      <c r="C30" s="21" t="s">
        <v>73</v>
      </c>
      <c r="D30" s="21" t="s">
        <v>74</v>
      </c>
      <c r="E30" s="21" t="s">
        <v>82</v>
      </c>
      <c r="F30" s="21" t="s">
        <v>83</v>
      </c>
    </row>
    <row r="31" customFormat="false" ht="15" hidden="false" customHeight="false" outlineLevel="0" collapsed="false">
      <c r="B31" s="37" t="str">
        <f aca="false">Parâmetros!$B$17</f>
        <v>Prospecção</v>
      </c>
      <c r="C31" s="38" t="n">
        <f aca="false">COUNTIFS(op_Etapa,$B31,op_Consultor,CritConsultor)</f>
        <v>14</v>
      </c>
      <c r="D31" s="23" t="n">
        <f aca="false">SUMIFS(op_Valor,op_Etapa,$B31,op_Consultor,CritConsultor)</f>
        <v>222300</v>
      </c>
      <c r="E31" s="23" t="n">
        <f aca="false">SUMIFS(op_Pond,op_Etapa,$B31,op_Consultor,CritConsultor)</f>
        <v>22230</v>
      </c>
      <c r="F31" s="24" t="n">
        <f aca="false">IFERROR(D31/D$35,0)</f>
        <v>0.136909527622098</v>
      </c>
    </row>
    <row r="32" customFormat="false" ht="15" hidden="false" customHeight="false" outlineLevel="0" collapsed="false">
      <c r="B32" s="37" t="str">
        <f aca="false">Parâmetros!$B$18</f>
        <v>Qualificação</v>
      </c>
      <c r="C32" s="38" t="n">
        <f aca="false">COUNTIFS(op_Etapa,$B32,op_Consultor,CritConsultor)</f>
        <v>24</v>
      </c>
      <c r="D32" s="23" t="n">
        <f aca="false">SUMIFS(op_Valor,op_Etapa,$B32,op_Consultor,CritConsultor)</f>
        <v>474500</v>
      </c>
      <c r="E32" s="23" t="n">
        <f aca="false">SUMIFS(op_Pond,op_Etapa,$B32,op_Consultor,CritConsultor)</f>
        <v>118625</v>
      </c>
      <c r="F32" s="24" t="n">
        <f aca="false">IFERROR(D32/D$35,0)</f>
        <v>0.292233787029624</v>
      </c>
    </row>
    <row r="33" customFormat="false" ht="15" hidden="false" customHeight="false" outlineLevel="0" collapsed="false">
      <c r="B33" s="37" t="str">
        <f aca="false">Parâmetros!$B$19</f>
        <v>Proposta enviada</v>
      </c>
      <c r="C33" s="38" t="n">
        <f aca="false">COUNTIFS(op_Etapa,$B33,op_Consultor,CritConsultor)</f>
        <v>21</v>
      </c>
      <c r="D33" s="23" t="n">
        <f aca="false">SUMIFS(op_Valor,op_Etapa,$B33,op_Consultor,CritConsultor)</f>
        <v>348100</v>
      </c>
      <c r="E33" s="23" t="n">
        <f aca="false">SUMIFS(op_Pond,op_Etapa,$B33,op_Consultor,CritConsultor)</f>
        <v>174050</v>
      </c>
      <c r="F33" s="24" t="n">
        <f aca="false">IFERROR(D33/D$35,0)</f>
        <v>0.214386894130689</v>
      </c>
    </row>
    <row r="34" customFormat="false" ht="15" hidden="false" customHeight="false" outlineLevel="0" collapsed="false">
      <c r="B34" s="37" t="str">
        <f aca="false">Parâmetros!$B$20</f>
        <v>Negociação</v>
      </c>
      <c r="C34" s="38" t="n">
        <f aca="false">COUNTIFS(op_Etapa,$B34,op_Consultor,CritConsultor)</f>
        <v>22</v>
      </c>
      <c r="D34" s="23" t="n">
        <f aca="false">SUMIFS(op_Valor,op_Etapa,$B34,op_Consultor,CritConsultor)</f>
        <v>578800</v>
      </c>
      <c r="E34" s="23" t="n">
        <f aca="false">SUMIFS(op_Pond,op_Etapa,$B34,op_Consultor,CritConsultor)</f>
        <v>434100</v>
      </c>
      <c r="F34" s="24" t="n">
        <f aca="false">IFERROR(D34/D$35,0)</f>
        <v>0.35646979121759</v>
      </c>
    </row>
    <row r="35" customFormat="false" ht="15" hidden="false" customHeight="false" outlineLevel="0" collapsed="false">
      <c r="B35" s="26" t="s">
        <v>84</v>
      </c>
      <c r="C35" s="39" t="n">
        <f aca="false">SUM(C31:C34)</f>
        <v>81</v>
      </c>
      <c r="D35" s="27" t="n">
        <f aca="false">SUM(D31:D34)</f>
        <v>1623700</v>
      </c>
      <c r="E35" s="27" t="n">
        <f aca="false">SUM(E31:E34)</f>
        <v>749005</v>
      </c>
      <c r="F35" s="28" t="n">
        <f aca="false">SUM(F31:F34)</f>
        <v>1</v>
      </c>
    </row>
    <row r="37" customFormat="false" ht="15" hidden="false" customHeight="false" outlineLevel="0" collapsed="false">
      <c r="B37" s="3" t="s">
        <v>85</v>
      </c>
    </row>
    <row r="38" customFormat="false" ht="30" hidden="false" customHeight="true" outlineLevel="0" collapsed="false">
      <c r="B38" s="20" t="s">
        <v>86</v>
      </c>
      <c r="C38" s="21"/>
      <c r="D38" s="21" t="s">
        <v>87</v>
      </c>
      <c r="E38" s="21" t="s">
        <v>88</v>
      </c>
      <c r="F38" s="21" t="s">
        <v>69</v>
      </c>
      <c r="G38" s="21" t="s">
        <v>52</v>
      </c>
    </row>
    <row r="39" customFormat="false" ht="15" hidden="false" customHeight="false" outlineLevel="0" collapsed="false">
      <c r="B39" s="31" t="str">
        <f aca="false">1&amp;". "&amp;INDEX(cl_Nome,MATCH(LARGE(cl_Chave,1),cl_Chave,0))</f>
        <v>1. Prefeitura de Campo Alto</v>
      </c>
      <c r="C39" s="32"/>
      <c r="D39" s="23" t="n">
        <f aca="false">INDEX(cl_Total,MATCH(LARGE(cl_Chave,1),cl_Chave,0))</f>
        <v>305800</v>
      </c>
      <c r="E39" s="40" t="n">
        <f aca="false">INDEX(cl_Ultima,MATCH(LARGE(cl_Chave,1),cl_Chave,0))</f>
        <v>46303</v>
      </c>
      <c r="F39" s="25" t="str">
        <f aca="false">INDEX(cl_Situacao,MATCH(LARGE(cl_Chave,1),cl_Chave,0))</f>
        <v>Ativo</v>
      </c>
      <c r="G39" s="31" t="str">
        <f aca="false">INDEX(cl_Consultor,MATCH(LARGE(cl_Chave,1),cl_Chave,0))</f>
        <v>Ana Souza</v>
      </c>
    </row>
    <row r="40" customFormat="false" ht="15" hidden="false" customHeight="false" outlineLevel="0" collapsed="false">
      <c r="B40" s="31" t="str">
        <f aca="false">2&amp;". "&amp;INDEX(cl_Nome,MATCH(LARGE(cl_Chave,2),cl_Chave,0))</f>
        <v>2. Rede Primeiros Passos</v>
      </c>
      <c r="C40" s="32"/>
      <c r="D40" s="23" t="n">
        <f aca="false">INDEX(cl_Total,MATCH(LARGE(cl_Chave,2),cl_Chave,0))</f>
        <v>295400</v>
      </c>
      <c r="E40" s="40" t="n">
        <f aca="false">INDEX(cl_Ultima,MATCH(LARGE(cl_Chave,2),cl_Chave,0))</f>
        <v>46256</v>
      </c>
      <c r="F40" s="25" t="str">
        <f aca="false">INDEX(cl_Situacao,MATCH(LARGE(cl_Chave,2),cl_Chave,0))</f>
        <v>Ativo</v>
      </c>
      <c r="G40" s="31" t="str">
        <f aca="false">INDEX(cl_Consultor,MATCH(LARGE(cl_Chave,2),cl_Chave,0))</f>
        <v>Diego Rocha</v>
      </c>
    </row>
    <row r="41" customFormat="false" ht="15" hidden="false" customHeight="false" outlineLevel="0" collapsed="false">
      <c r="B41" s="31" t="str">
        <f aca="false">3&amp;". "&amp;INDEX(cl_Nome,MATCH(LARGE(cl_Chave,3),cl_Chave,0))</f>
        <v>3. Instituto Aprender+</v>
      </c>
      <c r="C41" s="32"/>
      <c r="D41" s="23" t="n">
        <f aca="false">INDEX(cl_Total,MATCH(LARGE(cl_Chave,3),cl_Chave,0))</f>
        <v>262100</v>
      </c>
      <c r="E41" s="40" t="n">
        <f aca="false">INDEX(cl_Ultima,MATCH(LARGE(cl_Chave,3),cl_Chave,0))</f>
        <v>46216</v>
      </c>
      <c r="F41" s="25" t="str">
        <f aca="false">INDEX(cl_Situacao,MATCH(LARGE(cl_Chave,3),cl_Chave,0))</f>
        <v>Em risco</v>
      </c>
      <c r="G41" s="31" t="str">
        <f aca="false">INDEX(cl_Consultor,MATCH(LARGE(cl_Chave,3),cl_Chave,0))</f>
        <v>Carla Mendes</v>
      </c>
    </row>
    <row r="42" customFormat="false" ht="15" hidden="false" customHeight="false" outlineLevel="0" collapsed="false">
      <c r="B42" s="31" t="str">
        <f aca="false">4&amp;". "&amp;INDEX(cl_Nome,MATCH(LARGE(cl_Chave,4),cl_Chave,0))</f>
        <v>4. Prefeitura de Monte Belo</v>
      </c>
      <c r="C42" s="32"/>
      <c r="D42" s="23" t="n">
        <f aca="false">INDEX(cl_Total,MATCH(LARGE(cl_Chave,4),cl_Chave,0))</f>
        <v>260400</v>
      </c>
      <c r="E42" s="40" t="n">
        <f aca="false">INDEX(cl_Ultima,MATCH(LARGE(cl_Chave,4),cl_Chave,0))</f>
        <v>46235</v>
      </c>
      <c r="F42" s="25" t="str">
        <f aca="false">INDEX(cl_Situacao,MATCH(LARGE(cl_Chave,4),cl_Chave,0))</f>
        <v>Ativo</v>
      </c>
      <c r="G42" s="31" t="str">
        <f aca="false">INDEX(cl_Consultor,MATCH(LARGE(cl_Chave,4),cl_Chave,0))</f>
        <v>Ana Souza</v>
      </c>
    </row>
    <row r="43" customFormat="false" ht="15" hidden="false" customHeight="false" outlineLevel="0" collapsed="false">
      <c r="B43" s="31" t="str">
        <f aca="false">5&amp;". "&amp;INDEX(cl_Nome,MATCH(LARGE(cl_Chave,5),cl_Chave,0))</f>
        <v>5. Centro Educacional Pioneiro</v>
      </c>
      <c r="C43" s="32"/>
      <c r="D43" s="23" t="n">
        <f aca="false">INDEX(cl_Total,MATCH(LARGE(cl_Chave,5),cl_Chave,0))</f>
        <v>241500</v>
      </c>
      <c r="E43" s="40" t="n">
        <f aca="false">INDEX(cl_Ultima,MATCH(LARGE(cl_Chave,5),cl_Chave,0))</f>
        <v>46243</v>
      </c>
      <c r="F43" s="25" t="str">
        <f aca="false">INDEX(cl_Situacao,MATCH(LARGE(cl_Chave,5),cl_Chave,0))</f>
        <v>Ativo</v>
      </c>
      <c r="G43" s="31" t="str">
        <f aca="false">INDEX(cl_Consultor,MATCH(LARGE(cl_Chave,5),cl_Chave,0))</f>
        <v>Felipe Duarte</v>
      </c>
    </row>
    <row r="46" customFormat="false" ht="15" hidden="false" customHeight="false" outlineLevel="0" collapsed="false">
      <c r="B46" s="3" t="s">
        <v>89</v>
      </c>
    </row>
    <row r="47" customFormat="false" ht="30" hidden="false" customHeight="true" outlineLevel="0" collapsed="false">
      <c r="B47" s="20" t="s">
        <v>51</v>
      </c>
      <c r="C47" s="21" t="s">
        <v>90</v>
      </c>
      <c r="D47" s="21" t="s">
        <v>91</v>
      </c>
      <c r="E47" s="21" t="s">
        <v>32</v>
      </c>
      <c r="F47" s="21" t="s">
        <v>92</v>
      </c>
    </row>
    <row r="48" customFormat="false" ht="15" hidden="false" customHeight="false" outlineLevel="0" collapsed="false">
      <c r="B48" s="37" t="str">
        <f aca="false">Parâmetros!$N$17</f>
        <v>Jan/26</v>
      </c>
      <c r="C48" s="23" t="n">
        <f aca="false">IF($F$4="Todos",INDEX(Metas!$C$11:$N$11,MATCH(Parâmetros!$M$17,Metas!$C$4:$N$4,0)),INDEX(Metas!$C$5:$N$10,MATCH($F$4,Metas!$A$5:$A$10,0),MATCH(Parâmetros!$M$17,Metas!$C$4:$N$4,0)))</f>
        <v>270000</v>
      </c>
      <c r="D48" s="23" t="n">
        <f aca="false">SUMIFS(op_Valor,op_Status,"Ganha",op_Consultor,CritConsultor,op_Fech,"&gt;="&amp;Parâmetros!$M$17,op_Fech,"&lt;="&amp;EOMONTH(Parâmetros!$M$17,0))</f>
        <v>249500</v>
      </c>
      <c r="E48" s="24" t="n">
        <f aca="false">IF(Parâmetros!$M$17&gt;DataRef,"",IFERROR(D48/C48,0))</f>
        <v>0.924074074074074</v>
      </c>
      <c r="F48" s="23" t="n">
        <f aca="false">IF(Parâmetros!$M$17&gt;DataRef,"",D48-C48)</f>
        <v>-20500</v>
      </c>
    </row>
    <row r="49" customFormat="false" ht="15" hidden="false" customHeight="false" outlineLevel="0" collapsed="false">
      <c r="B49" s="37" t="str">
        <f aca="false">Parâmetros!$N$18</f>
        <v>Fev/26</v>
      </c>
      <c r="C49" s="23" t="n">
        <f aca="false">IF($F$4="Todos",INDEX(Metas!$C$11:$N$11,MATCH(Parâmetros!$M$18,Metas!$C$4:$N$4,0)),INDEX(Metas!$C$5:$N$10,MATCH($F$4,Metas!$A$5:$A$10,0),MATCH(Parâmetros!$M$18,Metas!$C$4:$N$4,0)))</f>
        <v>301000</v>
      </c>
      <c r="D49" s="23" t="n">
        <f aca="false">SUMIFS(op_Valor,op_Status,"Ganha",op_Consultor,CritConsultor,op_Fech,"&gt;="&amp;Parâmetros!$M$18,op_Fech,"&lt;="&amp;EOMONTH(Parâmetros!$M$18,0))</f>
        <v>324800</v>
      </c>
      <c r="E49" s="24" t="n">
        <f aca="false">IF(Parâmetros!$M$18&gt;DataRef,"",IFERROR(D49/C49,0))</f>
        <v>1.07906976744186</v>
      </c>
      <c r="F49" s="23" t="n">
        <f aca="false">IF(Parâmetros!$M$18&gt;DataRef,"",D49-C49)</f>
        <v>23800</v>
      </c>
    </row>
    <row r="50" customFormat="false" ht="15" hidden="false" customHeight="false" outlineLevel="0" collapsed="false">
      <c r="B50" s="37" t="str">
        <f aca="false">Parâmetros!$N$19</f>
        <v>Mar/26</v>
      </c>
      <c r="C50" s="23" t="n">
        <f aca="false">IF($F$4="Todos",INDEX(Metas!$C$11:$N$11,MATCH(Parâmetros!$M$19,Metas!$C$4:$N$4,0)),INDEX(Metas!$C$5:$N$10,MATCH($F$4,Metas!$A$5:$A$10,0),MATCH(Parâmetros!$M$19,Metas!$C$4:$N$4,0)))</f>
        <v>343000</v>
      </c>
      <c r="D50" s="23" t="n">
        <f aca="false">SUMIFS(op_Valor,op_Status,"Ganha",op_Consultor,CritConsultor,op_Fech,"&gt;="&amp;Parâmetros!$M$19,op_Fech,"&lt;="&amp;EOMONTH(Parâmetros!$M$19,0))</f>
        <v>221300</v>
      </c>
      <c r="E50" s="24" t="n">
        <f aca="false">IF(Parâmetros!$M$19&gt;DataRef,"",IFERROR(D50/C50,0))</f>
        <v>0.645189504373178</v>
      </c>
      <c r="F50" s="23" t="n">
        <f aca="false">IF(Parâmetros!$M$19&gt;DataRef,"",D50-C50)</f>
        <v>-121700</v>
      </c>
    </row>
    <row r="51" customFormat="false" ht="15" hidden="false" customHeight="false" outlineLevel="0" collapsed="false">
      <c r="B51" s="37" t="str">
        <f aca="false">Parâmetros!$N$20</f>
        <v>Abr/26</v>
      </c>
      <c r="C51" s="23" t="n">
        <f aca="false">IF($F$4="Todos",INDEX(Metas!$C$11:$N$11,MATCH(Parâmetros!$M$20,Metas!$C$4:$N$4,0)),INDEX(Metas!$C$5:$N$10,MATCH($F$4,Metas!$A$5:$A$10,0),MATCH(Parâmetros!$M$20,Metas!$C$4:$N$4,0)))</f>
        <v>313000</v>
      </c>
      <c r="D51" s="23" t="n">
        <f aca="false">SUMIFS(op_Valor,op_Status,"Ganha",op_Consultor,CritConsultor,op_Fech,"&gt;="&amp;Parâmetros!$M$20,op_Fech,"&lt;="&amp;EOMONTH(Parâmetros!$M$20,0))</f>
        <v>122700</v>
      </c>
      <c r="E51" s="24" t="n">
        <f aca="false">IF(Parâmetros!$M$20&gt;DataRef,"",IFERROR(D51/C51,0))</f>
        <v>0.392012779552716</v>
      </c>
      <c r="F51" s="23" t="n">
        <f aca="false">IF(Parâmetros!$M$20&gt;DataRef,"",D51-C51)</f>
        <v>-190300</v>
      </c>
    </row>
    <row r="52" customFormat="false" ht="15" hidden="false" customHeight="false" outlineLevel="0" collapsed="false">
      <c r="B52" s="37" t="str">
        <f aca="false">Parâmetros!$N$21</f>
        <v>Mai/26</v>
      </c>
      <c r="C52" s="23" t="n">
        <f aca="false">IF($F$4="Todos",INDEX(Metas!$C$11:$N$11,MATCH(Parâmetros!$M$21,Metas!$C$4:$N$4,0)),INDEX(Metas!$C$5:$N$10,MATCH($F$4,Metas!$A$5:$A$10,0),MATCH(Parâmetros!$M$21,Metas!$C$4:$N$4,0)))</f>
        <v>326000</v>
      </c>
      <c r="D52" s="23" t="n">
        <f aca="false">SUMIFS(op_Valor,op_Status,"Ganha",op_Consultor,CritConsultor,op_Fech,"&gt;="&amp;Parâmetros!$M$21,op_Fech,"&lt;="&amp;EOMONTH(Parâmetros!$M$21,0))</f>
        <v>241100</v>
      </c>
      <c r="E52" s="24" t="n">
        <f aca="false">IF(Parâmetros!$M$21&gt;DataRef,"",IFERROR(D52/C52,0))</f>
        <v>0.739570552147239</v>
      </c>
      <c r="F52" s="23" t="n">
        <f aca="false">IF(Parâmetros!$M$21&gt;DataRef,"",D52-C52)</f>
        <v>-84900</v>
      </c>
    </row>
    <row r="53" customFormat="false" ht="15" hidden="false" customHeight="false" outlineLevel="0" collapsed="false">
      <c r="B53" s="37" t="str">
        <f aca="false">Parâmetros!$N$22</f>
        <v>Jun/26</v>
      </c>
      <c r="C53" s="23" t="n">
        <f aca="false">IF($F$4="Todos",INDEX(Metas!$C$11:$N$11,MATCH(Parâmetros!$M$22,Metas!$C$4:$N$4,0)),INDEX(Metas!$C$5:$N$10,MATCH($F$4,Metas!$A$5:$A$10,0),MATCH(Parâmetros!$M$22,Metas!$C$4:$N$4,0)))</f>
        <v>307000</v>
      </c>
      <c r="D53" s="23" t="n">
        <f aca="false">SUMIFS(op_Valor,op_Status,"Ganha",op_Consultor,CritConsultor,op_Fech,"&gt;="&amp;Parâmetros!$M$22,op_Fech,"&lt;="&amp;EOMONTH(Parâmetros!$M$22,0))</f>
        <v>421000</v>
      </c>
      <c r="E53" s="24" t="n">
        <f aca="false">IF(Parâmetros!$M$22&gt;DataRef,"",IFERROR(D53/C53,0))</f>
        <v>1.37133550488599</v>
      </c>
      <c r="F53" s="23" t="n">
        <f aca="false">IF(Parâmetros!$M$22&gt;DataRef,"",D53-C53)</f>
        <v>114000</v>
      </c>
    </row>
    <row r="54" customFormat="false" ht="15" hidden="false" customHeight="false" outlineLevel="0" collapsed="false">
      <c r="B54" s="37" t="str">
        <f aca="false">Parâmetros!$N$23</f>
        <v>Jul/26</v>
      </c>
      <c r="C54" s="23" t="n">
        <f aca="false">IF($F$4="Todos",INDEX(Metas!$C$11:$N$11,MATCH(Parâmetros!$M$23,Metas!$C$4:$N$4,0)),INDEX(Metas!$C$5:$N$10,MATCH($F$4,Metas!$A$5:$A$10,0),MATCH(Parâmetros!$M$23,Metas!$C$4:$N$4,0)))</f>
        <v>273000</v>
      </c>
      <c r="D54" s="23" t="n">
        <f aca="false">SUMIFS(op_Valor,op_Status,"Ganha",op_Consultor,CritConsultor,op_Fech,"&gt;="&amp;Parâmetros!$M$23,op_Fech,"&lt;="&amp;EOMONTH(Parâmetros!$M$23,0))</f>
        <v>534100</v>
      </c>
      <c r="E54" s="24" t="n">
        <f aca="false">IF(Parâmetros!$M$23&gt;DataRef,"",IFERROR(D54/C54,0))</f>
        <v>1.95641025641026</v>
      </c>
      <c r="F54" s="23" t="n">
        <f aca="false">IF(Parâmetros!$M$23&gt;DataRef,"",D54-C54)</f>
        <v>261100</v>
      </c>
    </row>
    <row r="55" customFormat="false" ht="15" hidden="false" customHeight="false" outlineLevel="0" collapsed="false">
      <c r="B55" s="37" t="str">
        <f aca="false">Parâmetros!$N$24</f>
        <v>Ago/26</v>
      </c>
      <c r="C55" s="23" t="n">
        <f aca="false">IF($F$4="Todos",INDEX(Metas!$C$11:$N$11,MATCH(Parâmetros!$M$24,Metas!$C$4:$N$4,0)),INDEX(Metas!$C$5:$N$10,MATCH($F$4,Metas!$A$5:$A$10,0),MATCH(Parâmetros!$M$24,Metas!$C$4:$N$4,0)))</f>
        <v>339000</v>
      </c>
      <c r="D55" s="23" t="n">
        <f aca="false">SUMIFS(op_Valor,op_Status,"Ganha",op_Consultor,CritConsultor,op_Fech,"&gt;="&amp;Parâmetros!$M$24,op_Fech,"&lt;="&amp;EOMONTH(Parâmetros!$M$24,0))</f>
        <v>365500</v>
      </c>
      <c r="E55" s="24" t="n">
        <f aca="false">IF(Parâmetros!$M$24&gt;DataRef,"",IFERROR(D55/C55,0))</f>
        <v>1.07817109144543</v>
      </c>
      <c r="F55" s="23" t="n">
        <f aca="false">IF(Parâmetros!$M$24&gt;DataRef,"",D55-C55)</f>
        <v>26500</v>
      </c>
    </row>
    <row r="56" customFormat="false" ht="15" hidden="false" customHeight="false" outlineLevel="0" collapsed="false">
      <c r="B56" s="37" t="str">
        <f aca="false">Parâmetros!$N$25</f>
        <v>Set/26</v>
      </c>
      <c r="C56" s="23" t="n">
        <f aca="false">IF($F$4="Todos",INDEX(Metas!$C$11:$N$11,MATCH(Parâmetros!$M$25,Metas!$C$4:$N$4,0)),INDEX(Metas!$C$5:$N$10,MATCH($F$4,Metas!$A$5:$A$10,0),MATCH(Parâmetros!$M$25,Metas!$C$4:$N$4,0)))</f>
        <v>355000</v>
      </c>
      <c r="D56" s="23" t="n">
        <f aca="false">SUMIFS(op_Valor,op_Status,"Ganha",op_Consultor,CritConsultor,op_Fech,"&gt;="&amp;Parâmetros!$M$25,op_Fech,"&lt;="&amp;EOMONTH(Parâmetros!$M$25,0))</f>
        <v>221600</v>
      </c>
      <c r="E56" s="24" t="n">
        <f aca="false">IF(Parâmetros!$M$25&gt;DataRef,"",IFERROR(D56/C56,0))</f>
        <v>0.624225352112676</v>
      </c>
      <c r="F56" s="23" t="n">
        <f aca="false">IF(Parâmetros!$M$25&gt;DataRef,"",D56-C56)</f>
        <v>-133400</v>
      </c>
    </row>
    <row r="57" customFormat="false" ht="15" hidden="false" customHeight="false" outlineLevel="0" collapsed="false">
      <c r="B57" s="37" t="str">
        <f aca="false">Parâmetros!$N$26</f>
        <v>Out/26</v>
      </c>
      <c r="C57" s="23" t="n">
        <f aca="false">IF($F$4="Todos",INDEX(Metas!$C$11:$N$11,MATCH(Parâmetros!$M$26,Metas!$C$4:$N$4,0)),INDEX(Metas!$C$5:$N$10,MATCH($F$4,Metas!$A$5:$A$10,0),MATCH(Parâmetros!$M$26,Metas!$C$4:$N$4,0)))</f>
        <v>343000</v>
      </c>
      <c r="D57" s="23" t="n">
        <f aca="false">SUMIFS(op_Valor,op_Status,"Ganha",op_Consultor,CritConsultor,op_Fech,"&gt;="&amp;Parâmetros!$M$26,op_Fech,"&lt;="&amp;EOMONTH(Parâmetros!$M$26,0))</f>
        <v>52600</v>
      </c>
      <c r="E57" s="24" t="n">
        <f aca="false">IF(Parâmetros!$M$26&gt;DataRef,"",IFERROR(D57/C57,0))</f>
        <v>0.1533527696793</v>
      </c>
      <c r="F57" s="23" t="n">
        <f aca="false">IF(Parâmetros!$M$26&gt;DataRef,"",D57-C57)</f>
        <v>-290400</v>
      </c>
    </row>
    <row r="58" customFormat="false" ht="15" hidden="false" customHeight="false" outlineLevel="0" collapsed="false">
      <c r="B58" s="37" t="str">
        <f aca="false">Parâmetros!$N$27</f>
        <v>Nov/26</v>
      </c>
      <c r="C58" s="23" t="n">
        <f aca="false">IF($F$4="Todos",INDEX(Metas!$C$11:$N$11,MATCH(Parâmetros!$M$27,Metas!$C$4:$N$4,0)),INDEX(Metas!$C$5:$N$10,MATCH($F$4,Metas!$A$5:$A$10,0),MATCH(Parâmetros!$M$27,Metas!$C$4:$N$4,0)))</f>
        <v>374000</v>
      </c>
      <c r="D58" s="23" t="n">
        <f aca="false">SUMIFS(op_Valor,op_Status,"Ganha",op_Consultor,CritConsultor,op_Fech,"&gt;="&amp;Parâmetros!$M$27,op_Fech,"&lt;="&amp;EOMONTH(Parâmetros!$M$27,0))</f>
        <v>0</v>
      </c>
      <c r="E58" s="24" t="str">
        <f aca="false">IF(Parâmetros!$M$27&gt;DataRef,"",IFERROR(D58/C58,0))</f>
        <v/>
      </c>
      <c r="F58" s="23" t="str">
        <f aca="false">IF(Parâmetros!$M$27&gt;DataRef,"",D58-C58)</f>
        <v/>
      </c>
    </row>
    <row r="59" customFormat="false" ht="15" hidden="false" customHeight="false" outlineLevel="0" collapsed="false">
      <c r="B59" s="37" t="str">
        <f aca="false">Parâmetros!$N$28</f>
        <v>Dez/26</v>
      </c>
      <c r="C59" s="23" t="n">
        <f aca="false">IF($F$4="Todos",INDEX(Metas!$C$11:$N$11,MATCH(Parâmetros!$M$28,Metas!$C$4:$N$4,0)),INDEX(Metas!$C$5:$N$10,MATCH($F$4,Metas!$A$5:$A$10,0),MATCH(Parâmetros!$M$28,Metas!$C$4:$N$4,0)))</f>
        <v>311000</v>
      </c>
      <c r="D59" s="23" t="n">
        <f aca="false">SUMIFS(op_Valor,op_Status,"Ganha",op_Consultor,CritConsultor,op_Fech,"&gt;="&amp;Parâmetros!$M$28,op_Fech,"&lt;="&amp;EOMONTH(Parâmetros!$M$28,0))</f>
        <v>0</v>
      </c>
      <c r="E59" s="24" t="str">
        <f aca="false">IF(Parâmetros!$M$28&gt;DataRef,"",IFERROR(D59/C59,0))</f>
        <v/>
      </c>
      <c r="F59" s="23" t="str">
        <f aca="false">IF(Parâmetros!$M$28&gt;DataRef,"",D59-C59)</f>
        <v/>
      </c>
    </row>
    <row r="60" customFormat="false" ht="15" hidden="false" customHeight="false" outlineLevel="0" collapsed="false">
      <c r="B60" s="26" t="s">
        <v>93</v>
      </c>
      <c r="C60" s="27" t="n">
        <f aca="false">SUM(C48:C59)</f>
        <v>3855000</v>
      </c>
      <c r="D60" s="27" t="n">
        <f aca="false">SUM(D48:D59)</f>
        <v>2754200</v>
      </c>
      <c r="E60" s="28" t="n">
        <f aca="false">IFERROR(D60/C60,0)</f>
        <v>0.714448767833982</v>
      </c>
      <c r="F60" s="41"/>
    </row>
    <row r="62" customFormat="false" ht="15" hidden="false" customHeight="false" outlineLevel="0" collapsed="false">
      <c r="B62" s="42" t="s">
        <v>94</v>
      </c>
    </row>
  </sheetData>
  <mergeCells count="18"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B8:C8"/>
    <mergeCell ref="D8:E8"/>
    <mergeCell ref="F8:G8"/>
    <mergeCell ref="H8:I8"/>
    <mergeCell ref="J8:K8"/>
    <mergeCell ref="L8:M8"/>
  </mergeCells>
  <conditionalFormatting sqref="G12:G18">
    <cfRule type="expression" priority="2" aboveAverage="0" equalAverage="0" bottom="0" percent="0" rank="0" text="" dxfId="0">
      <formula>G12="Meta batida"</formula>
    </cfRule>
    <cfRule type="expression" priority="3" aboveAverage="0" equalAverage="0" bottom="0" percent="0" rank="0" text="" dxfId="1">
      <formula>G12="Quase lá"</formula>
    </cfRule>
    <cfRule type="expression" priority="4" aboveAverage="0" equalAverage="0" bottom="0" percent="0" rank="0" text="" dxfId="2">
      <formula>G12="Abaixo"</formula>
    </cfRule>
  </conditionalFormatting>
  <conditionalFormatting sqref="F39:F43">
    <cfRule type="expression" priority="5" aboveAverage="0" equalAverage="0" bottom="0" percent="0" rank="0" text="" dxfId="0">
      <formula>F39="Ativo"</formula>
    </cfRule>
    <cfRule type="expression" priority="6" aboveAverage="0" equalAverage="0" bottom="0" percent="0" rank="0" text="" dxfId="1">
      <formula>F39="Em risco"</formula>
    </cfRule>
    <cfRule type="expression" priority="7" aboveAverage="0" equalAverage="0" bottom="0" percent="0" rank="0" text="" dxfId="2">
      <formula>F39="Inativo"</formula>
    </cfRule>
  </conditionalFormatting>
  <conditionalFormatting sqref="E12:E18">
    <cfRule type="cellIs" priority="8" operator="greaterThanOrEqual" aboveAverage="0" equalAverage="0" bottom="0" percent="0" rank="0" text="" dxfId="3">
      <formula>1</formula>
    </cfRule>
    <cfRule type="cellIs" priority="9" operator="lessThan" aboveAverage="0" equalAverage="0" bottom="0" percent="0" rank="0" text="" dxfId="4">
      <formula>0.8</formula>
    </cfRule>
  </conditionalFormatting>
  <dataValidations count="2">
    <dataValidation allowBlank="false" error="Escolha um mês da lista." errorStyle="stop" errorTitle="Mês inválido" operator="between" showDropDown="false" showErrorMessage="true" showInputMessage="false" sqref="C4" type="list">
      <formula1>lst_Meses</formula1>
      <formula2>0</formula2>
    </dataValidation>
    <dataValidation allowBlank="false" error="Escolha Todos ou um consultor da lista." errorStyle="stop" errorTitle="Consultor inválido" operator="between" showDropDown="false" showErrorMessage="true" showInputMessage="false" sqref="F4" type="list">
      <formula1>lst_FiltroConsultor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7" min="7" style="0" width="17"/>
    <col collapsed="false" customWidth="true" hidden="false" outlineLevel="0" max="8" min="8" style="0" width="15"/>
    <col collapsed="false" customWidth="true" hidden="false" outlineLevel="0" max="9" min="9" style="0" width="9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7"/>
  </cols>
  <sheetData>
    <row r="1" customFormat="false" ht="19.7" hidden="false" customHeight="false" outlineLevel="0" collapsed="false">
      <c r="A1" s="43" t="s">
        <v>95</v>
      </c>
    </row>
    <row r="2" customFormat="false" ht="15" hidden="false" customHeight="false" outlineLevel="0" collapsed="false">
      <c r="A2" s="2" t="s">
        <v>96</v>
      </c>
    </row>
    <row r="4" customFormat="false" ht="30" hidden="false" customHeight="true" outlineLevel="0" collapsed="false">
      <c r="A4" s="20" t="s">
        <v>97</v>
      </c>
      <c r="B4" s="21" t="s">
        <v>98</v>
      </c>
      <c r="C4" s="21" t="s">
        <v>86</v>
      </c>
      <c r="D4" s="21" t="s">
        <v>52</v>
      </c>
      <c r="E4" s="21" t="s">
        <v>99</v>
      </c>
      <c r="F4" s="21" t="s">
        <v>100</v>
      </c>
      <c r="G4" s="21" t="s">
        <v>81</v>
      </c>
      <c r="H4" s="21" t="s">
        <v>74</v>
      </c>
      <c r="I4" s="21" t="s">
        <v>101</v>
      </c>
      <c r="J4" s="21" t="s">
        <v>82</v>
      </c>
      <c r="K4" s="21" t="s">
        <v>102</v>
      </c>
      <c r="L4" s="21" t="s">
        <v>103</v>
      </c>
      <c r="M4" s="21" t="s">
        <v>104</v>
      </c>
      <c r="N4" s="21" t="s">
        <v>105</v>
      </c>
      <c r="O4" s="21" t="s">
        <v>106</v>
      </c>
    </row>
    <row r="5" customFormat="false" ht="15" hidden="false" customHeight="false" outlineLevel="0" collapsed="false">
      <c r="A5" s="44" t="s">
        <v>107</v>
      </c>
      <c r="B5" s="45" t="n">
        <v>45931</v>
      </c>
      <c r="C5" s="46" t="s">
        <v>108</v>
      </c>
      <c r="D5" s="46" t="s">
        <v>109</v>
      </c>
      <c r="E5" s="7" t="str">
        <f aca="false">IF(C5="","",IFERROR(INDEX(cl_Regiao,MATCH(C5,cl_Nome,0)),""))</f>
        <v>Sudeste</v>
      </c>
      <c r="F5" s="46" t="s">
        <v>110</v>
      </c>
      <c r="G5" s="46" t="s">
        <v>111</v>
      </c>
      <c r="H5" s="47" t="n">
        <v>2000</v>
      </c>
      <c r="I5" s="48" t="n">
        <f aca="false">IF(G5="","",IFERROR(INDEX(pr_Prob,MATCH(G5,pr_Etapa,0)),0))</f>
        <v>0</v>
      </c>
      <c r="J5" s="49" t="n">
        <f aca="false">IF(H5="","",H5*I5)</f>
        <v>0</v>
      </c>
      <c r="K5" s="45"/>
      <c r="L5" s="45" t="n">
        <v>45997</v>
      </c>
      <c r="M5" s="50" t="str">
        <f aca="false">IF(G5="","",IF(G5="Fechado ganho","Ganha",IF(G5="Fechado perdido","Perdida","Aberta")))</f>
        <v>Perdida</v>
      </c>
      <c r="N5" s="51" t="n">
        <f aca="false">IF(B5="","",IF(M5="Aberta",DataRef-B5,IF(L5="","",L5-B5)))</f>
        <v>66</v>
      </c>
      <c r="O5" s="50" t="str">
        <f aca="false">IF(M5&lt;&gt;"Aberta","",IF(AND(K5&lt;&gt;"",K5&lt;DataRef),"Previsão vencida",IF(N5&gt;DiasParada,"Parada","")))</f>
        <v/>
      </c>
    </row>
    <row r="6" customFormat="false" ht="15" hidden="false" customHeight="false" outlineLevel="0" collapsed="false">
      <c r="A6" s="44" t="s">
        <v>112</v>
      </c>
      <c r="B6" s="45" t="n">
        <v>45931</v>
      </c>
      <c r="C6" s="46" t="s">
        <v>113</v>
      </c>
      <c r="D6" s="46" t="s">
        <v>114</v>
      </c>
      <c r="E6" s="7" t="str">
        <f aca="false">IF(C6="","",IFERROR(INDEX(cl_Regiao,MATCH(C6,cl_Nome,0)),""))</f>
        <v>Norte</v>
      </c>
      <c r="F6" s="46" t="s">
        <v>115</v>
      </c>
      <c r="G6" s="46" t="s">
        <v>116</v>
      </c>
      <c r="H6" s="47" t="n">
        <v>31500</v>
      </c>
      <c r="I6" s="48" t="n">
        <f aca="false">IF(G6="","",IFERROR(INDEX(pr_Prob,MATCH(G6,pr_Etapa,0)),0))</f>
        <v>1</v>
      </c>
      <c r="J6" s="49" t="n">
        <f aca="false">IF(H6="","",H6*I6)</f>
        <v>31500</v>
      </c>
      <c r="K6" s="45"/>
      <c r="L6" s="45" t="n">
        <v>45996</v>
      </c>
      <c r="M6" s="50" t="str">
        <f aca="false">IF(G6="","",IF(G6="Fechado ganho","Ganha",IF(G6="Fechado perdido","Perdida","Aberta")))</f>
        <v>Ganha</v>
      </c>
      <c r="N6" s="51" t="n">
        <f aca="false">IF(B6="","",IF(M6="Aberta",DataRef-B6,IF(L6="","",L6-B6)))</f>
        <v>65</v>
      </c>
      <c r="O6" s="50" t="str">
        <f aca="false">IF(M6&lt;&gt;"Aberta","",IF(AND(K6&lt;&gt;"",K6&lt;DataRef),"Previsão vencida",IF(N6&gt;DiasParada,"Parada","")))</f>
        <v/>
      </c>
    </row>
    <row r="7" customFormat="false" ht="15" hidden="false" customHeight="false" outlineLevel="0" collapsed="false">
      <c r="A7" s="44" t="s">
        <v>117</v>
      </c>
      <c r="B7" s="45" t="n">
        <v>45932</v>
      </c>
      <c r="C7" s="46" t="s">
        <v>118</v>
      </c>
      <c r="D7" s="46" t="s">
        <v>119</v>
      </c>
      <c r="E7" s="7" t="str">
        <f aca="false">IF(C7="","",IFERROR(INDEX(cl_Regiao,MATCH(C7,cl_Nome,0)),""))</f>
        <v>Sudeste</v>
      </c>
      <c r="F7" s="46" t="s">
        <v>110</v>
      </c>
      <c r="G7" s="46" t="s">
        <v>116</v>
      </c>
      <c r="H7" s="47" t="n">
        <v>10400</v>
      </c>
      <c r="I7" s="48" t="n">
        <f aca="false">IF(G7="","",IFERROR(INDEX(pr_Prob,MATCH(G7,pr_Etapa,0)),0))</f>
        <v>1</v>
      </c>
      <c r="J7" s="49" t="n">
        <f aca="false">IF(H7="","",H7*I7)</f>
        <v>10400</v>
      </c>
      <c r="K7" s="45"/>
      <c r="L7" s="45" t="n">
        <v>45962</v>
      </c>
      <c r="M7" s="50" t="str">
        <f aca="false">IF(G7="","",IF(G7="Fechado ganho","Ganha",IF(G7="Fechado perdido","Perdida","Aberta")))</f>
        <v>Ganha</v>
      </c>
      <c r="N7" s="51" t="n">
        <f aca="false">IF(B7="","",IF(M7="Aberta",DataRef-B7,IF(L7="","",L7-B7)))</f>
        <v>30</v>
      </c>
      <c r="O7" s="50" t="str">
        <f aca="false">IF(M7&lt;&gt;"Aberta","",IF(AND(K7&lt;&gt;"",K7&lt;DataRef),"Previsão vencida",IF(N7&gt;DiasParada,"Parada","")))</f>
        <v/>
      </c>
    </row>
    <row r="8" customFormat="false" ht="15" hidden="false" customHeight="false" outlineLevel="0" collapsed="false">
      <c r="A8" s="44" t="s">
        <v>120</v>
      </c>
      <c r="B8" s="45" t="n">
        <v>45933</v>
      </c>
      <c r="C8" s="46" t="s">
        <v>121</v>
      </c>
      <c r="D8" s="46" t="s">
        <v>119</v>
      </c>
      <c r="E8" s="7" t="str">
        <f aca="false">IF(C8="","",IFERROR(INDEX(cl_Regiao,MATCH(C8,cl_Nome,0)),""))</f>
        <v>Sudeste</v>
      </c>
      <c r="F8" s="46" t="s">
        <v>122</v>
      </c>
      <c r="G8" s="46" t="s">
        <v>111</v>
      </c>
      <c r="H8" s="47" t="n">
        <v>17200</v>
      </c>
      <c r="I8" s="48" t="n">
        <f aca="false">IF(G8="","",IFERROR(INDEX(pr_Prob,MATCH(G8,pr_Etapa,0)),0))</f>
        <v>0</v>
      </c>
      <c r="J8" s="49" t="n">
        <f aca="false">IF(H8="","",H8*I8)</f>
        <v>0</v>
      </c>
      <c r="K8" s="45"/>
      <c r="L8" s="45" t="n">
        <v>45993</v>
      </c>
      <c r="M8" s="50" t="str">
        <f aca="false">IF(G8="","",IF(G8="Fechado ganho","Ganha",IF(G8="Fechado perdido","Perdida","Aberta")))</f>
        <v>Perdida</v>
      </c>
      <c r="N8" s="51" t="n">
        <f aca="false">IF(B8="","",IF(M8="Aberta",DataRef-B8,IF(L8="","",L8-B8)))</f>
        <v>60</v>
      </c>
      <c r="O8" s="50" t="str">
        <f aca="false">IF(M8&lt;&gt;"Aberta","",IF(AND(K8&lt;&gt;"",K8&lt;DataRef),"Previsão vencida",IF(N8&gt;DiasParada,"Parada","")))</f>
        <v/>
      </c>
    </row>
    <row r="9" customFormat="false" ht="15" hidden="false" customHeight="false" outlineLevel="0" collapsed="false">
      <c r="A9" s="44" t="s">
        <v>123</v>
      </c>
      <c r="B9" s="45" t="n">
        <v>45935</v>
      </c>
      <c r="C9" s="46" t="s">
        <v>108</v>
      </c>
      <c r="D9" s="46" t="s">
        <v>109</v>
      </c>
      <c r="E9" s="7" t="str">
        <f aca="false">IF(C9="","",IFERROR(INDEX(cl_Regiao,MATCH(C9,cl_Nome,0)),""))</f>
        <v>Sudeste</v>
      </c>
      <c r="F9" s="46" t="s">
        <v>122</v>
      </c>
      <c r="G9" s="46" t="s">
        <v>124</v>
      </c>
      <c r="H9" s="47" t="n">
        <v>12400</v>
      </c>
      <c r="I9" s="48" t="n">
        <f aca="false">IF(G9="","",IFERROR(INDEX(pr_Prob,MATCH(G9,pr_Etapa,0)),0))</f>
        <v>0.5</v>
      </c>
      <c r="J9" s="49" t="n">
        <f aca="false">IF(H9="","",H9*I9)</f>
        <v>6200</v>
      </c>
      <c r="K9" s="45" t="n">
        <v>46028</v>
      </c>
      <c r="L9" s="45"/>
      <c r="M9" s="50" t="str">
        <f aca="false">IF(G9="","",IF(G9="Fechado ganho","Ganha",IF(G9="Fechado perdido","Perdida","Aberta")))</f>
        <v>Aberta</v>
      </c>
      <c r="N9" s="51" t="n">
        <f aca="false">IF(B9="","",IF(M9="Aberta",DataRef-B9,IF(L9="","",L9-B9)))</f>
        <v>373</v>
      </c>
      <c r="O9" s="50" t="str">
        <f aca="false">IF(M9&lt;&gt;"Aberta","",IF(AND(K9&lt;&gt;"",K9&lt;DataRef),"Previsão vencida",IF(N9&gt;DiasParada,"Parada","")))</f>
        <v>Previsão vencida</v>
      </c>
    </row>
    <row r="10" customFormat="false" ht="15" hidden="false" customHeight="false" outlineLevel="0" collapsed="false">
      <c r="A10" s="44" t="s">
        <v>125</v>
      </c>
      <c r="B10" s="45" t="n">
        <v>45935</v>
      </c>
      <c r="C10" s="46" t="s">
        <v>126</v>
      </c>
      <c r="D10" s="46" t="s">
        <v>127</v>
      </c>
      <c r="E10" s="7" t="str">
        <f aca="false">IF(C10="","",IFERROR(INDEX(cl_Regiao,MATCH(C10,cl_Nome,0)),""))</f>
        <v>Sul</v>
      </c>
      <c r="F10" s="46" t="s">
        <v>128</v>
      </c>
      <c r="G10" s="46" t="s">
        <v>111</v>
      </c>
      <c r="H10" s="47" t="n">
        <v>41800</v>
      </c>
      <c r="I10" s="48" t="n">
        <f aca="false">IF(G10="","",IFERROR(INDEX(pr_Prob,MATCH(G10,pr_Etapa,0)),0))</f>
        <v>0</v>
      </c>
      <c r="J10" s="49" t="n">
        <f aca="false">IF(H10="","",H10*I10)</f>
        <v>0</v>
      </c>
      <c r="K10" s="45"/>
      <c r="L10" s="45" t="n">
        <v>45947</v>
      </c>
      <c r="M10" s="50" t="str">
        <f aca="false">IF(G10="","",IF(G10="Fechado ganho","Ganha",IF(G10="Fechado perdido","Perdida","Aberta")))</f>
        <v>Perdida</v>
      </c>
      <c r="N10" s="51" t="n">
        <f aca="false">IF(B10="","",IF(M10="Aberta",DataRef-B10,IF(L10="","",L10-B10)))</f>
        <v>12</v>
      </c>
      <c r="O10" s="50" t="str">
        <f aca="false">IF(M10&lt;&gt;"Aberta","",IF(AND(K10&lt;&gt;"",K10&lt;DataRef),"Previsão vencida",IF(N10&gt;DiasParada,"Parada","")))</f>
        <v/>
      </c>
    </row>
    <row r="11" customFormat="false" ht="15" hidden="false" customHeight="false" outlineLevel="0" collapsed="false">
      <c r="A11" s="44" t="s">
        <v>129</v>
      </c>
      <c r="B11" s="45" t="n">
        <v>45937</v>
      </c>
      <c r="C11" s="46" t="s">
        <v>130</v>
      </c>
      <c r="D11" s="46" t="s">
        <v>131</v>
      </c>
      <c r="E11" s="7" t="str">
        <f aca="false">IF(C11="","",IFERROR(INDEX(cl_Regiao,MATCH(C11,cl_Nome,0)),""))</f>
        <v>Centro-Oeste</v>
      </c>
      <c r="F11" s="46" t="s">
        <v>122</v>
      </c>
      <c r="G11" s="46" t="s">
        <v>116</v>
      </c>
      <c r="H11" s="47" t="n">
        <v>12700</v>
      </c>
      <c r="I11" s="48" t="n">
        <f aca="false">IF(G11="","",IFERROR(INDEX(pr_Prob,MATCH(G11,pr_Etapa,0)),0))</f>
        <v>1</v>
      </c>
      <c r="J11" s="49" t="n">
        <f aca="false">IF(H11="","",H11*I11)</f>
        <v>12700</v>
      </c>
      <c r="K11" s="45"/>
      <c r="L11" s="45" t="n">
        <v>45991</v>
      </c>
      <c r="M11" s="50" t="str">
        <f aca="false">IF(G11="","",IF(G11="Fechado ganho","Ganha",IF(G11="Fechado perdido","Perdida","Aberta")))</f>
        <v>Ganha</v>
      </c>
      <c r="N11" s="51" t="n">
        <f aca="false">IF(B11="","",IF(M11="Aberta",DataRef-B11,IF(L11="","",L11-B11)))</f>
        <v>54</v>
      </c>
      <c r="O11" s="50" t="str">
        <f aca="false">IF(M11&lt;&gt;"Aberta","",IF(AND(K11&lt;&gt;"",K11&lt;DataRef),"Previsão vencida",IF(N11&gt;DiasParada,"Parada","")))</f>
        <v/>
      </c>
    </row>
    <row r="12" customFormat="false" ht="15" hidden="false" customHeight="false" outlineLevel="0" collapsed="false">
      <c r="A12" s="44" t="s">
        <v>132</v>
      </c>
      <c r="B12" s="45" t="n">
        <v>45938</v>
      </c>
      <c r="C12" s="46" t="s">
        <v>133</v>
      </c>
      <c r="D12" s="46" t="s">
        <v>119</v>
      </c>
      <c r="E12" s="7" t="str">
        <f aca="false">IF(C12="","",IFERROR(INDEX(cl_Regiao,MATCH(C12,cl_Nome,0)),""))</f>
        <v>Sudeste</v>
      </c>
      <c r="F12" s="46" t="s">
        <v>128</v>
      </c>
      <c r="G12" s="46" t="s">
        <v>116</v>
      </c>
      <c r="H12" s="47" t="n">
        <v>56800</v>
      </c>
      <c r="I12" s="48" t="n">
        <f aca="false">IF(G12="","",IFERROR(INDEX(pr_Prob,MATCH(G12,pr_Etapa,0)),0))</f>
        <v>1</v>
      </c>
      <c r="J12" s="49" t="n">
        <f aca="false">IF(H12="","",H12*I12)</f>
        <v>56800</v>
      </c>
      <c r="K12" s="45"/>
      <c r="L12" s="45" t="n">
        <v>45962</v>
      </c>
      <c r="M12" s="50" t="str">
        <f aca="false">IF(G12="","",IF(G12="Fechado ganho","Ganha",IF(G12="Fechado perdido","Perdida","Aberta")))</f>
        <v>Ganha</v>
      </c>
      <c r="N12" s="51" t="n">
        <f aca="false">IF(B12="","",IF(M12="Aberta",DataRef-B12,IF(L12="","",L12-B12)))</f>
        <v>24</v>
      </c>
      <c r="O12" s="50" t="str">
        <f aca="false">IF(M12&lt;&gt;"Aberta","",IF(AND(K12&lt;&gt;"",K12&lt;DataRef),"Previsão vencida",IF(N12&gt;DiasParada,"Parada","")))</f>
        <v/>
      </c>
    </row>
    <row r="13" customFormat="false" ht="15" hidden="false" customHeight="false" outlineLevel="0" collapsed="false">
      <c r="A13" s="44" t="s">
        <v>134</v>
      </c>
      <c r="B13" s="45" t="n">
        <v>45939</v>
      </c>
      <c r="C13" s="46" t="s">
        <v>135</v>
      </c>
      <c r="D13" s="46" t="s">
        <v>119</v>
      </c>
      <c r="E13" s="7" t="str">
        <f aca="false">IF(C13="","",IFERROR(INDEX(cl_Regiao,MATCH(C13,cl_Nome,0)),""))</f>
        <v>Sudeste</v>
      </c>
      <c r="F13" s="46" t="s">
        <v>115</v>
      </c>
      <c r="G13" s="46" t="s">
        <v>116</v>
      </c>
      <c r="H13" s="47" t="n">
        <v>8400</v>
      </c>
      <c r="I13" s="48" t="n">
        <f aca="false">IF(G13="","",IFERROR(INDEX(pr_Prob,MATCH(G13,pr_Etapa,0)),0))</f>
        <v>1</v>
      </c>
      <c r="J13" s="49" t="n">
        <f aca="false">IF(H13="","",H13*I13)</f>
        <v>8400</v>
      </c>
      <c r="K13" s="45"/>
      <c r="L13" s="45" t="n">
        <v>45967</v>
      </c>
      <c r="M13" s="50" t="str">
        <f aca="false">IF(G13="","",IF(G13="Fechado ganho","Ganha",IF(G13="Fechado perdido","Perdida","Aberta")))</f>
        <v>Ganha</v>
      </c>
      <c r="N13" s="51" t="n">
        <f aca="false">IF(B13="","",IF(M13="Aberta",DataRef-B13,IF(L13="","",L13-B13)))</f>
        <v>28</v>
      </c>
      <c r="O13" s="50" t="str">
        <f aca="false">IF(M13&lt;&gt;"Aberta","",IF(AND(K13&lt;&gt;"",K13&lt;DataRef),"Previsão vencida",IF(N13&gt;DiasParada,"Parada","")))</f>
        <v/>
      </c>
    </row>
    <row r="14" customFormat="false" ht="15" hidden="false" customHeight="false" outlineLevel="0" collapsed="false">
      <c r="A14" s="44" t="s">
        <v>136</v>
      </c>
      <c r="B14" s="45" t="n">
        <v>45940</v>
      </c>
      <c r="C14" s="46" t="s">
        <v>137</v>
      </c>
      <c r="D14" s="46" t="s">
        <v>114</v>
      </c>
      <c r="E14" s="7" t="str">
        <f aca="false">IF(C14="","",IFERROR(INDEX(cl_Regiao,MATCH(C14,cl_Nome,0)),""))</f>
        <v>Norte</v>
      </c>
      <c r="F14" s="46" t="s">
        <v>115</v>
      </c>
      <c r="G14" s="46" t="s">
        <v>111</v>
      </c>
      <c r="H14" s="47" t="n">
        <v>52900</v>
      </c>
      <c r="I14" s="48" t="n">
        <f aca="false">IF(G14="","",IFERROR(INDEX(pr_Prob,MATCH(G14,pr_Etapa,0)),0))</f>
        <v>0</v>
      </c>
      <c r="J14" s="49" t="n">
        <f aca="false">IF(H14="","",H14*I14)</f>
        <v>0</v>
      </c>
      <c r="K14" s="45"/>
      <c r="L14" s="45" t="n">
        <v>45957</v>
      </c>
      <c r="M14" s="50" t="str">
        <f aca="false">IF(G14="","",IF(G14="Fechado ganho","Ganha",IF(G14="Fechado perdido","Perdida","Aberta")))</f>
        <v>Perdida</v>
      </c>
      <c r="N14" s="51" t="n">
        <f aca="false">IF(B14="","",IF(M14="Aberta",DataRef-B14,IF(L14="","",L14-B14)))</f>
        <v>17</v>
      </c>
      <c r="O14" s="50" t="str">
        <f aca="false">IF(M14&lt;&gt;"Aberta","",IF(AND(K14&lt;&gt;"",K14&lt;DataRef),"Previsão vencida",IF(N14&gt;DiasParada,"Parada","")))</f>
        <v/>
      </c>
    </row>
    <row r="15" customFormat="false" ht="15" hidden="false" customHeight="false" outlineLevel="0" collapsed="false">
      <c r="A15" s="44" t="s">
        <v>138</v>
      </c>
      <c r="B15" s="45" t="n">
        <v>45940</v>
      </c>
      <c r="C15" s="46" t="s">
        <v>139</v>
      </c>
      <c r="D15" s="46" t="s">
        <v>131</v>
      </c>
      <c r="E15" s="7" t="str">
        <f aca="false">IF(C15="","",IFERROR(INDEX(cl_Regiao,MATCH(C15,cl_Nome,0)),""))</f>
        <v>Centro-Oeste</v>
      </c>
      <c r="F15" s="46" t="s">
        <v>122</v>
      </c>
      <c r="G15" s="46" t="s">
        <v>116</v>
      </c>
      <c r="H15" s="47" t="n">
        <v>7700</v>
      </c>
      <c r="I15" s="48" t="n">
        <f aca="false">IF(G15="","",IFERROR(INDEX(pr_Prob,MATCH(G15,pr_Etapa,0)),0))</f>
        <v>1</v>
      </c>
      <c r="J15" s="49" t="n">
        <f aca="false">IF(H15="","",H15*I15)</f>
        <v>7700</v>
      </c>
      <c r="K15" s="45"/>
      <c r="L15" s="45" t="n">
        <v>45975</v>
      </c>
      <c r="M15" s="50" t="str">
        <f aca="false">IF(G15="","",IF(G15="Fechado ganho","Ganha",IF(G15="Fechado perdido","Perdida","Aberta")))</f>
        <v>Ganha</v>
      </c>
      <c r="N15" s="51" t="n">
        <f aca="false">IF(B15="","",IF(M15="Aberta",DataRef-B15,IF(L15="","",L15-B15)))</f>
        <v>35</v>
      </c>
      <c r="O15" s="50" t="str">
        <f aca="false">IF(M15&lt;&gt;"Aberta","",IF(AND(K15&lt;&gt;"",K15&lt;DataRef),"Previsão vencida",IF(N15&gt;DiasParada,"Parada","")))</f>
        <v/>
      </c>
    </row>
    <row r="16" customFormat="false" ht="15" hidden="false" customHeight="false" outlineLevel="0" collapsed="false">
      <c r="A16" s="44" t="s">
        <v>140</v>
      </c>
      <c r="B16" s="45" t="n">
        <v>45940</v>
      </c>
      <c r="C16" s="46" t="s">
        <v>141</v>
      </c>
      <c r="D16" s="46" t="s">
        <v>109</v>
      </c>
      <c r="E16" s="7" t="str">
        <f aca="false">IF(C16="","",IFERROR(INDEX(cl_Regiao,MATCH(C16,cl_Nome,0)),""))</f>
        <v>Sudeste</v>
      </c>
      <c r="F16" s="46" t="s">
        <v>115</v>
      </c>
      <c r="G16" s="46" t="s">
        <v>116</v>
      </c>
      <c r="H16" s="47" t="n">
        <v>77800</v>
      </c>
      <c r="I16" s="48" t="n">
        <f aca="false">IF(G16="","",IFERROR(INDEX(pr_Prob,MATCH(G16,pr_Etapa,0)),0))</f>
        <v>1</v>
      </c>
      <c r="J16" s="49" t="n">
        <f aca="false">IF(H16="","",H16*I16)</f>
        <v>77800</v>
      </c>
      <c r="K16" s="45"/>
      <c r="L16" s="45" t="n">
        <v>45977</v>
      </c>
      <c r="M16" s="50" t="str">
        <f aca="false">IF(G16="","",IF(G16="Fechado ganho","Ganha",IF(G16="Fechado perdido","Perdida","Aberta")))</f>
        <v>Ganha</v>
      </c>
      <c r="N16" s="51" t="n">
        <f aca="false">IF(B16="","",IF(M16="Aberta",DataRef-B16,IF(L16="","",L16-B16)))</f>
        <v>37</v>
      </c>
      <c r="O16" s="50" t="str">
        <f aca="false">IF(M16&lt;&gt;"Aberta","",IF(AND(K16&lt;&gt;"",K16&lt;DataRef),"Previsão vencida",IF(N16&gt;DiasParada,"Parada","")))</f>
        <v/>
      </c>
    </row>
    <row r="17" customFormat="false" ht="15" hidden="false" customHeight="false" outlineLevel="0" collapsed="false">
      <c r="A17" s="44" t="s">
        <v>142</v>
      </c>
      <c r="B17" s="45" t="n">
        <v>45942</v>
      </c>
      <c r="C17" s="46" t="s">
        <v>126</v>
      </c>
      <c r="D17" s="46" t="s">
        <v>127</v>
      </c>
      <c r="E17" s="7" t="str">
        <f aca="false">IF(C17="","",IFERROR(INDEX(cl_Regiao,MATCH(C17,cl_Nome,0)),""))</f>
        <v>Sul</v>
      </c>
      <c r="F17" s="46" t="s">
        <v>115</v>
      </c>
      <c r="G17" s="46" t="s">
        <v>111</v>
      </c>
      <c r="H17" s="47" t="n">
        <v>25400</v>
      </c>
      <c r="I17" s="48" t="n">
        <f aca="false">IF(G17="","",IFERROR(INDEX(pr_Prob,MATCH(G17,pr_Etapa,0)),0))</f>
        <v>0</v>
      </c>
      <c r="J17" s="49" t="n">
        <f aca="false">IF(H17="","",H17*I17)</f>
        <v>0</v>
      </c>
      <c r="K17" s="45"/>
      <c r="L17" s="45" t="n">
        <v>45994</v>
      </c>
      <c r="M17" s="50" t="str">
        <f aca="false">IF(G17="","",IF(G17="Fechado ganho","Ganha",IF(G17="Fechado perdido","Perdida","Aberta")))</f>
        <v>Perdida</v>
      </c>
      <c r="N17" s="51" t="n">
        <f aca="false">IF(B17="","",IF(M17="Aberta",DataRef-B17,IF(L17="","",L17-B17)))</f>
        <v>52</v>
      </c>
      <c r="O17" s="50" t="str">
        <f aca="false">IF(M17&lt;&gt;"Aberta","",IF(AND(K17&lt;&gt;"",K17&lt;DataRef),"Previsão vencida",IF(N17&gt;DiasParada,"Parada","")))</f>
        <v/>
      </c>
    </row>
    <row r="18" customFormat="false" ht="15" hidden="false" customHeight="false" outlineLevel="0" collapsed="false">
      <c r="A18" s="44" t="s">
        <v>143</v>
      </c>
      <c r="B18" s="45" t="n">
        <v>45943</v>
      </c>
      <c r="C18" s="46" t="s">
        <v>141</v>
      </c>
      <c r="D18" s="46" t="s">
        <v>109</v>
      </c>
      <c r="E18" s="7" t="str">
        <f aca="false">IF(C18="","",IFERROR(INDEX(cl_Regiao,MATCH(C18,cl_Nome,0)),""))</f>
        <v>Sudeste</v>
      </c>
      <c r="F18" s="46" t="s">
        <v>110</v>
      </c>
      <c r="G18" s="46" t="s">
        <v>116</v>
      </c>
      <c r="H18" s="47" t="n">
        <v>12000</v>
      </c>
      <c r="I18" s="48" t="n">
        <f aca="false">IF(G18="","",IFERROR(INDEX(pr_Prob,MATCH(G18,pr_Etapa,0)),0))</f>
        <v>1</v>
      </c>
      <c r="J18" s="49" t="n">
        <f aca="false">IF(H18="","",H18*I18)</f>
        <v>12000</v>
      </c>
      <c r="K18" s="45"/>
      <c r="L18" s="45" t="n">
        <v>46009</v>
      </c>
      <c r="M18" s="50" t="str">
        <f aca="false">IF(G18="","",IF(G18="Fechado ganho","Ganha",IF(G18="Fechado perdido","Perdida","Aberta")))</f>
        <v>Ganha</v>
      </c>
      <c r="N18" s="51" t="n">
        <f aca="false">IF(B18="","",IF(M18="Aberta",DataRef-B18,IF(L18="","",L18-B18)))</f>
        <v>66</v>
      </c>
      <c r="O18" s="50" t="str">
        <f aca="false">IF(M18&lt;&gt;"Aberta","",IF(AND(K18&lt;&gt;"",K18&lt;DataRef),"Previsão vencida",IF(N18&gt;DiasParada,"Parada","")))</f>
        <v/>
      </c>
    </row>
    <row r="19" customFormat="false" ht="15" hidden="false" customHeight="false" outlineLevel="0" collapsed="false">
      <c r="A19" s="44" t="s">
        <v>144</v>
      </c>
      <c r="B19" s="45" t="n">
        <v>45945</v>
      </c>
      <c r="C19" s="46" t="s">
        <v>145</v>
      </c>
      <c r="D19" s="46" t="s">
        <v>114</v>
      </c>
      <c r="E19" s="7" t="str">
        <f aca="false">IF(C19="","",IFERROR(INDEX(cl_Regiao,MATCH(C19,cl_Nome,0)),""))</f>
        <v>Norte</v>
      </c>
      <c r="F19" s="46" t="s">
        <v>110</v>
      </c>
      <c r="G19" s="46" t="s">
        <v>111</v>
      </c>
      <c r="H19" s="47" t="n">
        <v>7100</v>
      </c>
      <c r="I19" s="48" t="n">
        <f aca="false">IF(G19="","",IFERROR(INDEX(pr_Prob,MATCH(G19,pr_Etapa,0)),0))</f>
        <v>0</v>
      </c>
      <c r="J19" s="49" t="n">
        <f aca="false">IF(H19="","",H19*I19)</f>
        <v>0</v>
      </c>
      <c r="K19" s="45"/>
      <c r="L19" s="45" t="n">
        <v>45969</v>
      </c>
      <c r="M19" s="50" t="str">
        <f aca="false">IF(G19="","",IF(G19="Fechado ganho","Ganha",IF(G19="Fechado perdido","Perdida","Aberta")))</f>
        <v>Perdida</v>
      </c>
      <c r="N19" s="51" t="n">
        <f aca="false">IF(B19="","",IF(M19="Aberta",DataRef-B19,IF(L19="","",L19-B19)))</f>
        <v>24</v>
      </c>
      <c r="O19" s="50" t="str">
        <f aca="false">IF(M19&lt;&gt;"Aberta","",IF(AND(K19&lt;&gt;"",K19&lt;DataRef),"Previsão vencida",IF(N19&gt;DiasParada,"Parada","")))</f>
        <v/>
      </c>
    </row>
    <row r="20" customFormat="false" ht="15" hidden="false" customHeight="false" outlineLevel="0" collapsed="false">
      <c r="A20" s="44" t="s">
        <v>146</v>
      </c>
      <c r="B20" s="45" t="n">
        <v>45945</v>
      </c>
      <c r="C20" s="46" t="s">
        <v>137</v>
      </c>
      <c r="D20" s="46" t="s">
        <v>114</v>
      </c>
      <c r="E20" s="7" t="str">
        <f aca="false">IF(C20="","",IFERROR(INDEX(cl_Regiao,MATCH(C20,cl_Nome,0)),""))</f>
        <v>Norte</v>
      </c>
      <c r="F20" s="46" t="s">
        <v>122</v>
      </c>
      <c r="G20" s="46" t="s">
        <v>116</v>
      </c>
      <c r="H20" s="47" t="n">
        <v>8100</v>
      </c>
      <c r="I20" s="48" t="n">
        <f aca="false">IF(G20="","",IFERROR(INDEX(pr_Prob,MATCH(G20,pr_Etapa,0)),0))</f>
        <v>1</v>
      </c>
      <c r="J20" s="49" t="n">
        <f aca="false">IF(H20="","",H20*I20)</f>
        <v>8100</v>
      </c>
      <c r="K20" s="45"/>
      <c r="L20" s="45" t="n">
        <v>46007</v>
      </c>
      <c r="M20" s="50" t="str">
        <f aca="false">IF(G20="","",IF(G20="Fechado ganho","Ganha",IF(G20="Fechado perdido","Perdida","Aberta")))</f>
        <v>Ganha</v>
      </c>
      <c r="N20" s="51" t="n">
        <f aca="false">IF(B20="","",IF(M20="Aberta",DataRef-B20,IF(L20="","",L20-B20)))</f>
        <v>62</v>
      </c>
      <c r="O20" s="50" t="str">
        <f aca="false">IF(M20&lt;&gt;"Aberta","",IF(AND(K20&lt;&gt;"",K20&lt;DataRef),"Previsão vencida",IF(N20&gt;DiasParada,"Parada","")))</f>
        <v/>
      </c>
    </row>
    <row r="21" customFormat="false" ht="15" hidden="false" customHeight="false" outlineLevel="0" collapsed="false">
      <c r="A21" s="44" t="s">
        <v>147</v>
      </c>
      <c r="B21" s="45" t="n">
        <v>45946</v>
      </c>
      <c r="C21" s="46" t="s">
        <v>148</v>
      </c>
      <c r="D21" s="46" t="s">
        <v>109</v>
      </c>
      <c r="E21" s="7" t="str">
        <f aca="false">IF(C21="","",IFERROR(INDEX(cl_Regiao,MATCH(C21,cl_Nome,0)),""))</f>
        <v>Sudeste</v>
      </c>
      <c r="F21" s="46" t="s">
        <v>128</v>
      </c>
      <c r="G21" s="46" t="s">
        <v>111</v>
      </c>
      <c r="H21" s="47" t="n">
        <v>33700</v>
      </c>
      <c r="I21" s="48" t="n">
        <f aca="false">IF(G21="","",IFERROR(INDEX(pr_Prob,MATCH(G21,pr_Etapa,0)),0))</f>
        <v>0</v>
      </c>
      <c r="J21" s="49" t="n">
        <f aca="false">IF(H21="","",H21*I21)</f>
        <v>0</v>
      </c>
      <c r="K21" s="45"/>
      <c r="L21" s="45" t="n">
        <v>46018</v>
      </c>
      <c r="M21" s="50" t="str">
        <f aca="false">IF(G21="","",IF(G21="Fechado ganho","Ganha",IF(G21="Fechado perdido","Perdida","Aberta")))</f>
        <v>Perdida</v>
      </c>
      <c r="N21" s="51" t="n">
        <f aca="false">IF(B21="","",IF(M21="Aberta",DataRef-B21,IF(L21="","",L21-B21)))</f>
        <v>72</v>
      </c>
      <c r="O21" s="50" t="str">
        <f aca="false">IF(M21&lt;&gt;"Aberta","",IF(AND(K21&lt;&gt;"",K21&lt;DataRef),"Previsão vencida",IF(N21&gt;DiasParada,"Parada","")))</f>
        <v/>
      </c>
    </row>
    <row r="22" customFormat="false" ht="15" hidden="false" customHeight="false" outlineLevel="0" collapsed="false">
      <c r="A22" s="44" t="s">
        <v>149</v>
      </c>
      <c r="B22" s="45" t="n">
        <v>45948</v>
      </c>
      <c r="C22" s="46" t="s">
        <v>145</v>
      </c>
      <c r="D22" s="46" t="s">
        <v>114</v>
      </c>
      <c r="E22" s="7" t="str">
        <f aca="false">IF(C22="","",IFERROR(INDEX(cl_Regiao,MATCH(C22,cl_Nome,0)),""))</f>
        <v>Norte</v>
      </c>
      <c r="F22" s="46" t="s">
        <v>122</v>
      </c>
      <c r="G22" s="46" t="s">
        <v>111</v>
      </c>
      <c r="H22" s="47" t="n">
        <v>9400</v>
      </c>
      <c r="I22" s="48" t="n">
        <f aca="false">IF(G22="","",IFERROR(INDEX(pr_Prob,MATCH(G22,pr_Etapa,0)),0))</f>
        <v>0</v>
      </c>
      <c r="J22" s="49" t="n">
        <f aca="false">IF(H22="","",H22*I22)</f>
        <v>0</v>
      </c>
      <c r="K22" s="45"/>
      <c r="L22" s="45" t="n">
        <v>46002</v>
      </c>
      <c r="M22" s="50" t="str">
        <f aca="false">IF(G22="","",IF(G22="Fechado ganho","Ganha",IF(G22="Fechado perdido","Perdida","Aberta")))</f>
        <v>Perdida</v>
      </c>
      <c r="N22" s="51" t="n">
        <f aca="false">IF(B22="","",IF(M22="Aberta",DataRef-B22,IF(L22="","",L22-B22)))</f>
        <v>54</v>
      </c>
      <c r="O22" s="50" t="str">
        <f aca="false">IF(M22&lt;&gt;"Aberta","",IF(AND(K22&lt;&gt;"",K22&lt;DataRef),"Previsão vencida",IF(N22&gt;DiasParada,"Parada","")))</f>
        <v/>
      </c>
    </row>
    <row r="23" customFormat="false" ht="15" hidden="false" customHeight="false" outlineLevel="0" collapsed="false">
      <c r="A23" s="44" t="s">
        <v>150</v>
      </c>
      <c r="B23" s="45" t="n">
        <v>45948</v>
      </c>
      <c r="C23" s="46" t="s">
        <v>113</v>
      </c>
      <c r="D23" s="46" t="s">
        <v>114</v>
      </c>
      <c r="E23" s="7" t="str">
        <f aca="false">IF(C23="","",IFERROR(INDEX(cl_Regiao,MATCH(C23,cl_Nome,0)),""))</f>
        <v>Norte</v>
      </c>
      <c r="F23" s="46" t="s">
        <v>110</v>
      </c>
      <c r="G23" s="46" t="s">
        <v>116</v>
      </c>
      <c r="H23" s="47" t="n">
        <v>5100</v>
      </c>
      <c r="I23" s="48" t="n">
        <f aca="false">IF(G23="","",IFERROR(INDEX(pr_Prob,MATCH(G23,pr_Etapa,0)),0))</f>
        <v>1</v>
      </c>
      <c r="J23" s="49" t="n">
        <f aca="false">IF(H23="","",H23*I23)</f>
        <v>5100</v>
      </c>
      <c r="K23" s="45"/>
      <c r="L23" s="45" t="n">
        <v>45972</v>
      </c>
      <c r="M23" s="50" t="str">
        <f aca="false">IF(G23="","",IF(G23="Fechado ganho","Ganha",IF(G23="Fechado perdido","Perdida","Aberta")))</f>
        <v>Ganha</v>
      </c>
      <c r="N23" s="51" t="n">
        <f aca="false">IF(B23="","",IF(M23="Aberta",DataRef-B23,IF(L23="","",L23-B23)))</f>
        <v>24</v>
      </c>
      <c r="O23" s="50" t="str">
        <f aca="false">IF(M23&lt;&gt;"Aberta","",IF(AND(K23&lt;&gt;"",K23&lt;DataRef),"Previsão vencida",IF(N23&gt;DiasParada,"Parada","")))</f>
        <v/>
      </c>
    </row>
    <row r="24" customFormat="false" ht="15" hidden="false" customHeight="false" outlineLevel="0" collapsed="false">
      <c r="A24" s="44" t="s">
        <v>151</v>
      </c>
      <c r="B24" s="45" t="n">
        <v>45948</v>
      </c>
      <c r="C24" s="46" t="s">
        <v>130</v>
      </c>
      <c r="D24" s="46" t="s">
        <v>131</v>
      </c>
      <c r="E24" s="7" t="str">
        <f aca="false">IF(C24="","",IFERROR(INDEX(cl_Regiao,MATCH(C24,cl_Nome,0)),""))</f>
        <v>Centro-Oeste</v>
      </c>
      <c r="F24" s="46" t="s">
        <v>128</v>
      </c>
      <c r="G24" s="46" t="s">
        <v>116</v>
      </c>
      <c r="H24" s="47" t="n">
        <v>6000</v>
      </c>
      <c r="I24" s="48" t="n">
        <f aca="false">IF(G24="","",IFERROR(INDEX(pr_Prob,MATCH(G24,pr_Etapa,0)),0))</f>
        <v>1</v>
      </c>
      <c r="J24" s="49" t="n">
        <f aca="false">IF(H24="","",H24*I24)</f>
        <v>6000</v>
      </c>
      <c r="K24" s="45"/>
      <c r="L24" s="45" t="n">
        <v>45969</v>
      </c>
      <c r="M24" s="50" t="str">
        <f aca="false">IF(G24="","",IF(G24="Fechado ganho","Ganha",IF(G24="Fechado perdido","Perdida","Aberta")))</f>
        <v>Ganha</v>
      </c>
      <c r="N24" s="51" t="n">
        <f aca="false">IF(B24="","",IF(M24="Aberta",DataRef-B24,IF(L24="","",L24-B24)))</f>
        <v>21</v>
      </c>
      <c r="O24" s="50" t="str">
        <f aca="false">IF(M24&lt;&gt;"Aberta","",IF(AND(K24&lt;&gt;"",K24&lt;DataRef),"Previsão vencida",IF(N24&gt;DiasParada,"Parada","")))</f>
        <v/>
      </c>
    </row>
    <row r="25" customFormat="false" ht="15" hidden="false" customHeight="false" outlineLevel="0" collapsed="false">
      <c r="A25" s="44" t="s">
        <v>152</v>
      </c>
      <c r="B25" s="45" t="n">
        <v>45950</v>
      </c>
      <c r="C25" s="46" t="s">
        <v>153</v>
      </c>
      <c r="D25" s="46" t="s">
        <v>131</v>
      </c>
      <c r="E25" s="7" t="str">
        <f aca="false">IF(C25="","",IFERROR(INDEX(cl_Regiao,MATCH(C25,cl_Nome,0)),""))</f>
        <v>Centro-Oeste</v>
      </c>
      <c r="F25" s="46" t="s">
        <v>110</v>
      </c>
      <c r="G25" s="46" t="s">
        <v>116</v>
      </c>
      <c r="H25" s="47" t="n">
        <v>2400</v>
      </c>
      <c r="I25" s="48" t="n">
        <f aca="false">IF(G25="","",IFERROR(INDEX(pr_Prob,MATCH(G25,pr_Etapa,0)),0))</f>
        <v>1</v>
      </c>
      <c r="J25" s="49" t="n">
        <f aca="false">IF(H25="","",H25*I25)</f>
        <v>2400</v>
      </c>
      <c r="K25" s="45"/>
      <c r="L25" s="45" t="n">
        <v>45995</v>
      </c>
      <c r="M25" s="50" t="str">
        <f aca="false">IF(G25="","",IF(G25="Fechado ganho","Ganha",IF(G25="Fechado perdido","Perdida","Aberta")))</f>
        <v>Ganha</v>
      </c>
      <c r="N25" s="51" t="n">
        <f aca="false">IF(B25="","",IF(M25="Aberta",DataRef-B25,IF(L25="","",L25-B25)))</f>
        <v>45</v>
      </c>
      <c r="O25" s="50" t="str">
        <f aca="false">IF(M25&lt;&gt;"Aberta","",IF(AND(K25&lt;&gt;"",K25&lt;DataRef),"Previsão vencida",IF(N25&gt;DiasParada,"Parada","")))</f>
        <v/>
      </c>
    </row>
    <row r="26" customFormat="false" ht="15" hidden="false" customHeight="false" outlineLevel="0" collapsed="false">
      <c r="A26" s="44" t="s">
        <v>154</v>
      </c>
      <c r="B26" s="45" t="n">
        <v>45950</v>
      </c>
      <c r="C26" s="46" t="s">
        <v>155</v>
      </c>
      <c r="D26" s="46" t="s">
        <v>127</v>
      </c>
      <c r="E26" s="7" t="str">
        <f aca="false">IF(C26="","",IFERROR(INDEX(cl_Regiao,MATCH(C26,cl_Nome,0)),""))</f>
        <v>Sul</v>
      </c>
      <c r="F26" s="46" t="s">
        <v>110</v>
      </c>
      <c r="G26" s="46" t="s">
        <v>116</v>
      </c>
      <c r="H26" s="47" t="n">
        <v>11900</v>
      </c>
      <c r="I26" s="48" t="n">
        <f aca="false">IF(G26="","",IFERROR(INDEX(pr_Prob,MATCH(G26,pr_Etapa,0)),0))</f>
        <v>1</v>
      </c>
      <c r="J26" s="49" t="n">
        <f aca="false">IF(H26="","",H26*I26)</f>
        <v>11900</v>
      </c>
      <c r="K26" s="45"/>
      <c r="L26" s="45" t="n">
        <v>45962</v>
      </c>
      <c r="M26" s="50" t="str">
        <f aca="false">IF(G26="","",IF(G26="Fechado ganho","Ganha",IF(G26="Fechado perdido","Perdida","Aberta")))</f>
        <v>Ganha</v>
      </c>
      <c r="N26" s="51" t="n">
        <f aca="false">IF(B26="","",IF(M26="Aberta",DataRef-B26,IF(L26="","",L26-B26)))</f>
        <v>12</v>
      </c>
      <c r="O26" s="50" t="str">
        <f aca="false">IF(M26&lt;&gt;"Aberta","",IF(AND(K26&lt;&gt;"",K26&lt;DataRef),"Previsão vencida",IF(N26&gt;DiasParada,"Parada","")))</f>
        <v/>
      </c>
    </row>
    <row r="27" customFormat="false" ht="15" hidden="false" customHeight="false" outlineLevel="0" collapsed="false">
      <c r="A27" s="44" t="s">
        <v>156</v>
      </c>
      <c r="B27" s="45" t="n">
        <v>45954</v>
      </c>
      <c r="C27" s="46" t="s">
        <v>137</v>
      </c>
      <c r="D27" s="46" t="s">
        <v>114</v>
      </c>
      <c r="E27" s="7" t="str">
        <f aca="false">IF(C27="","",IFERROR(INDEX(cl_Regiao,MATCH(C27,cl_Nome,0)),""))</f>
        <v>Norte</v>
      </c>
      <c r="F27" s="46" t="s">
        <v>110</v>
      </c>
      <c r="G27" s="46" t="s">
        <v>124</v>
      </c>
      <c r="H27" s="47" t="n">
        <v>2800</v>
      </c>
      <c r="I27" s="48" t="n">
        <f aca="false">IF(G27="","",IFERROR(INDEX(pr_Prob,MATCH(G27,pr_Etapa,0)),0))</f>
        <v>0.5</v>
      </c>
      <c r="J27" s="49" t="n">
        <f aca="false">IF(H27="","",H27*I27)</f>
        <v>1400</v>
      </c>
      <c r="K27" s="45" t="n">
        <v>46030</v>
      </c>
      <c r="L27" s="45"/>
      <c r="M27" s="50" t="str">
        <f aca="false">IF(G27="","",IF(G27="Fechado ganho","Ganha",IF(G27="Fechado perdido","Perdida","Aberta")))</f>
        <v>Aberta</v>
      </c>
      <c r="N27" s="51" t="n">
        <f aca="false">IF(B27="","",IF(M27="Aberta",DataRef-B27,IF(L27="","",L27-B27)))</f>
        <v>354</v>
      </c>
      <c r="O27" s="50" t="str">
        <f aca="false">IF(M27&lt;&gt;"Aberta","",IF(AND(K27&lt;&gt;"",K27&lt;DataRef),"Previsão vencida",IF(N27&gt;DiasParada,"Parada","")))</f>
        <v>Previsão vencida</v>
      </c>
    </row>
    <row r="28" customFormat="false" ht="15" hidden="false" customHeight="false" outlineLevel="0" collapsed="false">
      <c r="A28" s="44" t="s">
        <v>157</v>
      </c>
      <c r="B28" s="45" t="n">
        <v>45955</v>
      </c>
      <c r="C28" s="46" t="s">
        <v>158</v>
      </c>
      <c r="D28" s="46" t="s">
        <v>131</v>
      </c>
      <c r="E28" s="7" t="str">
        <f aca="false">IF(C28="","",IFERROR(INDEX(cl_Regiao,MATCH(C28,cl_Nome,0)),""))</f>
        <v>Centro-Oeste</v>
      </c>
      <c r="F28" s="46" t="s">
        <v>122</v>
      </c>
      <c r="G28" s="46" t="s">
        <v>116</v>
      </c>
      <c r="H28" s="47" t="n">
        <v>10500</v>
      </c>
      <c r="I28" s="48" t="n">
        <f aca="false">IF(G28="","",IFERROR(INDEX(pr_Prob,MATCH(G28,pr_Etapa,0)),0))</f>
        <v>1</v>
      </c>
      <c r="J28" s="49" t="n">
        <f aca="false">IF(H28="","",H28*I28)</f>
        <v>10500</v>
      </c>
      <c r="K28" s="45"/>
      <c r="L28" s="45" t="n">
        <v>45992</v>
      </c>
      <c r="M28" s="50" t="str">
        <f aca="false">IF(G28="","",IF(G28="Fechado ganho","Ganha",IF(G28="Fechado perdido","Perdida","Aberta")))</f>
        <v>Ganha</v>
      </c>
      <c r="N28" s="51" t="n">
        <f aca="false">IF(B28="","",IF(M28="Aberta",DataRef-B28,IF(L28="","",L28-B28)))</f>
        <v>37</v>
      </c>
      <c r="O28" s="50" t="str">
        <f aca="false">IF(M28&lt;&gt;"Aberta","",IF(AND(K28&lt;&gt;"",K28&lt;DataRef),"Previsão vencida",IF(N28&gt;DiasParada,"Parada","")))</f>
        <v/>
      </c>
    </row>
    <row r="29" customFormat="false" ht="15" hidden="false" customHeight="false" outlineLevel="0" collapsed="false">
      <c r="A29" s="44" t="s">
        <v>159</v>
      </c>
      <c r="B29" s="45" t="n">
        <v>45957</v>
      </c>
      <c r="C29" s="46" t="s">
        <v>113</v>
      </c>
      <c r="D29" s="46" t="s">
        <v>114</v>
      </c>
      <c r="E29" s="7" t="str">
        <f aca="false">IF(C29="","",IFERROR(INDEX(cl_Regiao,MATCH(C29,cl_Nome,0)),""))</f>
        <v>Norte</v>
      </c>
      <c r="F29" s="46" t="s">
        <v>115</v>
      </c>
      <c r="G29" s="46" t="s">
        <v>116</v>
      </c>
      <c r="H29" s="47" t="n">
        <v>27900</v>
      </c>
      <c r="I29" s="48" t="n">
        <f aca="false">IF(G29="","",IFERROR(INDEX(pr_Prob,MATCH(G29,pr_Etapa,0)),0))</f>
        <v>1</v>
      </c>
      <c r="J29" s="49" t="n">
        <f aca="false">IF(H29="","",H29*I29)</f>
        <v>27900</v>
      </c>
      <c r="K29" s="45"/>
      <c r="L29" s="45" t="n">
        <v>46008</v>
      </c>
      <c r="M29" s="50" t="str">
        <f aca="false">IF(G29="","",IF(G29="Fechado ganho","Ganha",IF(G29="Fechado perdido","Perdida","Aberta")))</f>
        <v>Ganha</v>
      </c>
      <c r="N29" s="51" t="n">
        <f aca="false">IF(B29="","",IF(M29="Aberta",DataRef-B29,IF(L29="","",L29-B29)))</f>
        <v>51</v>
      </c>
      <c r="O29" s="50" t="str">
        <f aca="false">IF(M29&lt;&gt;"Aberta","",IF(AND(K29&lt;&gt;"",K29&lt;DataRef),"Previsão vencida",IF(N29&gt;DiasParada,"Parada","")))</f>
        <v/>
      </c>
    </row>
    <row r="30" customFormat="false" ht="15" hidden="false" customHeight="false" outlineLevel="0" collapsed="false">
      <c r="A30" s="44" t="s">
        <v>160</v>
      </c>
      <c r="B30" s="45" t="n">
        <v>45957</v>
      </c>
      <c r="C30" s="46" t="s">
        <v>141</v>
      </c>
      <c r="D30" s="46" t="s">
        <v>109</v>
      </c>
      <c r="E30" s="7" t="str">
        <f aca="false">IF(C30="","",IFERROR(INDEX(cl_Regiao,MATCH(C30,cl_Nome,0)),""))</f>
        <v>Sudeste</v>
      </c>
      <c r="F30" s="46" t="s">
        <v>110</v>
      </c>
      <c r="G30" s="46" t="s">
        <v>111</v>
      </c>
      <c r="H30" s="47" t="n">
        <v>7000</v>
      </c>
      <c r="I30" s="48" t="n">
        <f aca="false">IF(G30="","",IFERROR(INDEX(pr_Prob,MATCH(G30,pr_Etapa,0)),0))</f>
        <v>0</v>
      </c>
      <c r="J30" s="49" t="n">
        <f aca="false">IF(H30="","",H30*I30)</f>
        <v>0</v>
      </c>
      <c r="K30" s="45"/>
      <c r="L30" s="45" t="n">
        <v>46003</v>
      </c>
      <c r="M30" s="50" t="str">
        <f aca="false">IF(G30="","",IF(G30="Fechado ganho","Ganha",IF(G30="Fechado perdido","Perdida","Aberta")))</f>
        <v>Perdida</v>
      </c>
      <c r="N30" s="51" t="n">
        <f aca="false">IF(B30="","",IF(M30="Aberta",DataRef-B30,IF(L30="","",L30-B30)))</f>
        <v>46</v>
      </c>
      <c r="O30" s="50" t="str">
        <f aca="false">IF(M30&lt;&gt;"Aberta","",IF(AND(K30&lt;&gt;"",K30&lt;DataRef),"Previsão vencida",IF(N30&gt;DiasParada,"Parada","")))</f>
        <v/>
      </c>
    </row>
    <row r="31" customFormat="false" ht="15" hidden="false" customHeight="false" outlineLevel="0" collapsed="false">
      <c r="A31" s="44" t="s">
        <v>161</v>
      </c>
      <c r="B31" s="45" t="n">
        <v>45959</v>
      </c>
      <c r="C31" s="46" t="s">
        <v>162</v>
      </c>
      <c r="D31" s="46" t="s">
        <v>131</v>
      </c>
      <c r="E31" s="7" t="str">
        <f aca="false">IF(C31="","",IFERROR(INDEX(cl_Regiao,MATCH(C31,cl_Nome,0)),""))</f>
        <v>Centro-Oeste</v>
      </c>
      <c r="F31" s="46" t="s">
        <v>115</v>
      </c>
      <c r="G31" s="46" t="s">
        <v>116</v>
      </c>
      <c r="H31" s="47" t="n">
        <v>9300</v>
      </c>
      <c r="I31" s="48" t="n">
        <f aca="false">IF(G31="","",IFERROR(INDEX(pr_Prob,MATCH(G31,pr_Etapa,0)),0))</f>
        <v>1</v>
      </c>
      <c r="J31" s="49" t="n">
        <f aca="false">IF(H31="","",H31*I31)</f>
        <v>9300</v>
      </c>
      <c r="K31" s="45"/>
      <c r="L31" s="45" t="n">
        <v>45986</v>
      </c>
      <c r="M31" s="50" t="str">
        <f aca="false">IF(G31="","",IF(G31="Fechado ganho","Ganha",IF(G31="Fechado perdido","Perdida","Aberta")))</f>
        <v>Ganha</v>
      </c>
      <c r="N31" s="51" t="n">
        <f aca="false">IF(B31="","",IF(M31="Aberta",DataRef-B31,IF(L31="","",L31-B31)))</f>
        <v>27</v>
      </c>
      <c r="O31" s="50" t="str">
        <f aca="false">IF(M31&lt;&gt;"Aberta","",IF(AND(K31&lt;&gt;"",K31&lt;DataRef),"Previsão vencida",IF(N31&gt;DiasParada,"Parada","")))</f>
        <v/>
      </c>
    </row>
    <row r="32" customFormat="false" ht="15" hidden="false" customHeight="false" outlineLevel="0" collapsed="false">
      <c r="A32" s="44" t="s">
        <v>163</v>
      </c>
      <c r="B32" s="45" t="n">
        <v>45959</v>
      </c>
      <c r="C32" s="46" t="s">
        <v>164</v>
      </c>
      <c r="D32" s="46" t="s">
        <v>165</v>
      </c>
      <c r="E32" s="7" t="str">
        <f aca="false">IF(C32="","",IFERROR(INDEX(cl_Regiao,MATCH(C32,cl_Nome,0)),""))</f>
        <v>Nordeste</v>
      </c>
      <c r="F32" s="46" t="s">
        <v>115</v>
      </c>
      <c r="G32" s="46" t="s">
        <v>116</v>
      </c>
      <c r="H32" s="47" t="n">
        <v>94700</v>
      </c>
      <c r="I32" s="48" t="n">
        <f aca="false">IF(G32="","",IFERROR(INDEX(pr_Prob,MATCH(G32,pr_Etapa,0)),0))</f>
        <v>1</v>
      </c>
      <c r="J32" s="49" t="n">
        <f aca="false">IF(H32="","",H32*I32)</f>
        <v>94700</v>
      </c>
      <c r="K32" s="45"/>
      <c r="L32" s="45" t="n">
        <v>46011</v>
      </c>
      <c r="M32" s="50" t="str">
        <f aca="false">IF(G32="","",IF(G32="Fechado ganho","Ganha",IF(G32="Fechado perdido","Perdida","Aberta")))</f>
        <v>Ganha</v>
      </c>
      <c r="N32" s="51" t="n">
        <f aca="false">IF(B32="","",IF(M32="Aberta",DataRef-B32,IF(L32="","",L32-B32)))</f>
        <v>52</v>
      </c>
      <c r="O32" s="50" t="str">
        <f aca="false">IF(M32&lt;&gt;"Aberta","",IF(AND(K32&lt;&gt;"",K32&lt;DataRef),"Previsão vencida",IF(N32&gt;DiasParada,"Parada","")))</f>
        <v/>
      </c>
    </row>
    <row r="33" customFormat="false" ht="15" hidden="false" customHeight="false" outlineLevel="0" collapsed="false">
      <c r="A33" s="44" t="s">
        <v>166</v>
      </c>
      <c r="B33" s="45" t="n">
        <v>45959</v>
      </c>
      <c r="C33" s="46" t="s">
        <v>133</v>
      </c>
      <c r="D33" s="46" t="s">
        <v>119</v>
      </c>
      <c r="E33" s="7" t="str">
        <f aca="false">IF(C33="","",IFERROR(INDEX(cl_Regiao,MATCH(C33,cl_Nome,0)),""))</f>
        <v>Sudeste</v>
      </c>
      <c r="F33" s="46" t="s">
        <v>110</v>
      </c>
      <c r="G33" s="46" t="s">
        <v>116</v>
      </c>
      <c r="H33" s="47" t="n">
        <v>5600</v>
      </c>
      <c r="I33" s="48" t="n">
        <f aca="false">IF(G33="","",IFERROR(INDEX(pr_Prob,MATCH(G33,pr_Etapa,0)),0))</f>
        <v>1</v>
      </c>
      <c r="J33" s="49" t="n">
        <f aca="false">IF(H33="","",H33*I33)</f>
        <v>5600</v>
      </c>
      <c r="K33" s="45"/>
      <c r="L33" s="45" t="n">
        <v>46031</v>
      </c>
      <c r="M33" s="50" t="str">
        <f aca="false">IF(G33="","",IF(G33="Fechado ganho","Ganha",IF(G33="Fechado perdido","Perdida","Aberta")))</f>
        <v>Ganha</v>
      </c>
      <c r="N33" s="51" t="n">
        <f aca="false">IF(B33="","",IF(M33="Aberta",DataRef-B33,IF(L33="","",L33-B33)))</f>
        <v>72</v>
      </c>
      <c r="O33" s="50" t="str">
        <f aca="false">IF(M33&lt;&gt;"Aberta","",IF(AND(K33&lt;&gt;"",K33&lt;DataRef),"Previsão vencida",IF(N33&gt;DiasParada,"Parada","")))</f>
        <v/>
      </c>
    </row>
    <row r="34" customFormat="false" ht="15" hidden="false" customHeight="false" outlineLevel="0" collapsed="false">
      <c r="A34" s="44" t="s">
        <v>167</v>
      </c>
      <c r="B34" s="45" t="n">
        <v>45960</v>
      </c>
      <c r="C34" s="46" t="s">
        <v>168</v>
      </c>
      <c r="D34" s="46" t="s">
        <v>127</v>
      </c>
      <c r="E34" s="7" t="str">
        <f aca="false">IF(C34="","",IFERROR(INDEX(cl_Regiao,MATCH(C34,cl_Nome,0)),""))</f>
        <v>Sul</v>
      </c>
      <c r="F34" s="46" t="s">
        <v>110</v>
      </c>
      <c r="G34" s="46" t="s">
        <v>111</v>
      </c>
      <c r="H34" s="47" t="n">
        <v>5100</v>
      </c>
      <c r="I34" s="48" t="n">
        <f aca="false">IF(G34="","",IFERROR(INDEX(pr_Prob,MATCH(G34,pr_Etapa,0)),0))</f>
        <v>0</v>
      </c>
      <c r="J34" s="49" t="n">
        <f aca="false">IF(H34="","",H34*I34)</f>
        <v>0</v>
      </c>
      <c r="K34" s="45"/>
      <c r="L34" s="45" t="n">
        <v>46004</v>
      </c>
      <c r="M34" s="50" t="str">
        <f aca="false">IF(G34="","",IF(G34="Fechado ganho","Ganha",IF(G34="Fechado perdido","Perdida","Aberta")))</f>
        <v>Perdida</v>
      </c>
      <c r="N34" s="51" t="n">
        <f aca="false">IF(B34="","",IF(M34="Aberta",DataRef-B34,IF(L34="","",L34-B34)))</f>
        <v>44</v>
      </c>
      <c r="O34" s="50" t="str">
        <f aca="false">IF(M34&lt;&gt;"Aberta","",IF(AND(K34&lt;&gt;"",K34&lt;DataRef),"Previsão vencida",IF(N34&gt;DiasParada,"Parada","")))</f>
        <v/>
      </c>
    </row>
    <row r="35" customFormat="false" ht="15" hidden="false" customHeight="false" outlineLevel="0" collapsed="false">
      <c r="A35" s="44" t="s">
        <v>169</v>
      </c>
      <c r="B35" s="45" t="n">
        <v>45961</v>
      </c>
      <c r="C35" s="46" t="s">
        <v>145</v>
      </c>
      <c r="D35" s="46" t="s">
        <v>114</v>
      </c>
      <c r="E35" s="7" t="str">
        <f aca="false">IF(C35="","",IFERROR(INDEX(cl_Regiao,MATCH(C35,cl_Nome,0)),""))</f>
        <v>Norte</v>
      </c>
      <c r="F35" s="46" t="s">
        <v>115</v>
      </c>
      <c r="G35" s="46" t="s">
        <v>116</v>
      </c>
      <c r="H35" s="47" t="n">
        <v>40300</v>
      </c>
      <c r="I35" s="48" t="n">
        <f aca="false">IF(G35="","",IFERROR(INDEX(pr_Prob,MATCH(G35,pr_Etapa,0)),0))</f>
        <v>1</v>
      </c>
      <c r="J35" s="49" t="n">
        <f aca="false">IF(H35="","",H35*I35)</f>
        <v>40300</v>
      </c>
      <c r="K35" s="45"/>
      <c r="L35" s="45" t="n">
        <v>46037</v>
      </c>
      <c r="M35" s="50" t="str">
        <f aca="false">IF(G35="","",IF(G35="Fechado ganho","Ganha",IF(G35="Fechado perdido","Perdida","Aberta")))</f>
        <v>Ganha</v>
      </c>
      <c r="N35" s="51" t="n">
        <f aca="false">IF(B35="","",IF(M35="Aberta",DataRef-B35,IF(L35="","",L35-B35)))</f>
        <v>76</v>
      </c>
      <c r="O35" s="50" t="str">
        <f aca="false">IF(M35&lt;&gt;"Aberta","",IF(AND(K35&lt;&gt;"",K35&lt;DataRef),"Previsão vencida",IF(N35&gt;DiasParada,"Parada","")))</f>
        <v/>
      </c>
    </row>
    <row r="36" customFormat="false" ht="15" hidden="false" customHeight="false" outlineLevel="0" collapsed="false">
      <c r="A36" s="44" t="s">
        <v>170</v>
      </c>
      <c r="B36" s="45" t="n">
        <v>45961</v>
      </c>
      <c r="C36" s="46" t="s">
        <v>171</v>
      </c>
      <c r="D36" s="46" t="s">
        <v>165</v>
      </c>
      <c r="E36" s="7" t="str">
        <f aca="false">IF(C36="","",IFERROR(INDEX(cl_Regiao,MATCH(C36,cl_Nome,0)),""))</f>
        <v>Nordeste</v>
      </c>
      <c r="F36" s="46" t="s">
        <v>110</v>
      </c>
      <c r="G36" s="46" t="s">
        <v>111</v>
      </c>
      <c r="H36" s="47" t="n">
        <v>10700</v>
      </c>
      <c r="I36" s="48" t="n">
        <f aca="false">IF(G36="","",IFERROR(INDEX(pr_Prob,MATCH(G36,pr_Etapa,0)),0))</f>
        <v>0</v>
      </c>
      <c r="J36" s="49" t="n">
        <f aca="false">IF(H36="","",H36*I36)</f>
        <v>0</v>
      </c>
      <c r="K36" s="45"/>
      <c r="L36" s="45" t="n">
        <v>46011</v>
      </c>
      <c r="M36" s="50" t="str">
        <f aca="false">IF(G36="","",IF(G36="Fechado ganho","Ganha",IF(G36="Fechado perdido","Perdida","Aberta")))</f>
        <v>Perdida</v>
      </c>
      <c r="N36" s="51" t="n">
        <f aca="false">IF(B36="","",IF(M36="Aberta",DataRef-B36,IF(L36="","",L36-B36)))</f>
        <v>50</v>
      </c>
      <c r="O36" s="50" t="str">
        <f aca="false">IF(M36&lt;&gt;"Aberta","",IF(AND(K36&lt;&gt;"",K36&lt;DataRef),"Previsão vencida",IF(N36&gt;DiasParada,"Parada","")))</f>
        <v/>
      </c>
    </row>
    <row r="37" customFormat="false" ht="15" hidden="false" customHeight="false" outlineLevel="0" collapsed="false">
      <c r="A37" s="44" t="s">
        <v>172</v>
      </c>
      <c r="B37" s="45" t="n">
        <v>45962</v>
      </c>
      <c r="C37" s="46" t="s">
        <v>141</v>
      </c>
      <c r="D37" s="46" t="s">
        <v>109</v>
      </c>
      <c r="E37" s="7" t="str">
        <f aca="false">IF(C37="","",IFERROR(INDEX(cl_Regiao,MATCH(C37,cl_Nome,0)),""))</f>
        <v>Sudeste</v>
      </c>
      <c r="F37" s="46" t="s">
        <v>110</v>
      </c>
      <c r="G37" s="46" t="s">
        <v>116</v>
      </c>
      <c r="H37" s="47" t="n">
        <v>13700</v>
      </c>
      <c r="I37" s="48" t="n">
        <f aca="false">IF(G37="","",IFERROR(INDEX(pr_Prob,MATCH(G37,pr_Etapa,0)),0))</f>
        <v>1</v>
      </c>
      <c r="J37" s="49" t="n">
        <f aca="false">IF(H37="","",H37*I37)</f>
        <v>13700</v>
      </c>
      <c r="K37" s="45"/>
      <c r="L37" s="45" t="n">
        <v>46006</v>
      </c>
      <c r="M37" s="50" t="str">
        <f aca="false">IF(G37="","",IF(G37="Fechado ganho","Ganha",IF(G37="Fechado perdido","Perdida","Aberta")))</f>
        <v>Ganha</v>
      </c>
      <c r="N37" s="51" t="n">
        <f aca="false">IF(B37="","",IF(M37="Aberta",DataRef-B37,IF(L37="","",L37-B37)))</f>
        <v>44</v>
      </c>
      <c r="O37" s="50" t="str">
        <f aca="false">IF(M37&lt;&gt;"Aberta","",IF(AND(K37&lt;&gt;"",K37&lt;DataRef),"Previsão vencida",IF(N37&gt;DiasParada,"Parada","")))</f>
        <v/>
      </c>
    </row>
    <row r="38" customFormat="false" ht="15" hidden="false" customHeight="false" outlineLevel="0" collapsed="false">
      <c r="A38" s="44" t="s">
        <v>173</v>
      </c>
      <c r="B38" s="45" t="n">
        <v>45963</v>
      </c>
      <c r="C38" s="46" t="s">
        <v>148</v>
      </c>
      <c r="D38" s="46" t="s">
        <v>109</v>
      </c>
      <c r="E38" s="7" t="str">
        <f aca="false">IF(C38="","",IFERROR(INDEX(cl_Regiao,MATCH(C38,cl_Nome,0)),""))</f>
        <v>Sudeste</v>
      </c>
      <c r="F38" s="46" t="s">
        <v>110</v>
      </c>
      <c r="G38" s="46" t="s">
        <v>116</v>
      </c>
      <c r="H38" s="47" t="n">
        <v>22500</v>
      </c>
      <c r="I38" s="48" t="n">
        <f aca="false">IF(G38="","",IFERROR(INDEX(pr_Prob,MATCH(G38,pr_Etapa,0)),0))</f>
        <v>1</v>
      </c>
      <c r="J38" s="49" t="n">
        <f aca="false">IF(H38="","",H38*I38)</f>
        <v>22500</v>
      </c>
      <c r="K38" s="45"/>
      <c r="L38" s="45" t="n">
        <v>45987</v>
      </c>
      <c r="M38" s="50" t="str">
        <f aca="false">IF(G38="","",IF(G38="Fechado ganho","Ganha",IF(G38="Fechado perdido","Perdida","Aberta")))</f>
        <v>Ganha</v>
      </c>
      <c r="N38" s="51" t="n">
        <f aca="false">IF(B38="","",IF(M38="Aberta",DataRef-B38,IF(L38="","",L38-B38)))</f>
        <v>24</v>
      </c>
      <c r="O38" s="50" t="str">
        <f aca="false">IF(M38&lt;&gt;"Aberta","",IF(AND(K38&lt;&gt;"",K38&lt;DataRef),"Previsão vencida",IF(N38&gt;DiasParada,"Parada","")))</f>
        <v/>
      </c>
    </row>
    <row r="39" customFormat="false" ht="15" hidden="false" customHeight="false" outlineLevel="0" collapsed="false">
      <c r="A39" s="44" t="s">
        <v>174</v>
      </c>
      <c r="B39" s="45" t="n">
        <v>45963</v>
      </c>
      <c r="C39" s="46" t="s">
        <v>175</v>
      </c>
      <c r="D39" s="46" t="s">
        <v>114</v>
      </c>
      <c r="E39" s="7" t="str">
        <f aca="false">IF(C39="","",IFERROR(INDEX(cl_Regiao,MATCH(C39,cl_Nome,0)),""))</f>
        <v>Norte</v>
      </c>
      <c r="F39" s="46" t="s">
        <v>122</v>
      </c>
      <c r="G39" s="46" t="s">
        <v>111</v>
      </c>
      <c r="H39" s="47" t="n">
        <v>12500</v>
      </c>
      <c r="I39" s="48" t="n">
        <f aca="false">IF(G39="","",IFERROR(INDEX(pr_Prob,MATCH(G39,pr_Etapa,0)),0))</f>
        <v>0</v>
      </c>
      <c r="J39" s="49" t="n">
        <f aca="false">IF(H39="","",H39*I39)</f>
        <v>0</v>
      </c>
      <c r="K39" s="45"/>
      <c r="L39" s="45" t="n">
        <v>46001</v>
      </c>
      <c r="M39" s="50" t="str">
        <f aca="false">IF(G39="","",IF(G39="Fechado ganho","Ganha",IF(G39="Fechado perdido","Perdida","Aberta")))</f>
        <v>Perdida</v>
      </c>
      <c r="N39" s="51" t="n">
        <f aca="false">IF(B39="","",IF(M39="Aberta",DataRef-B39,IF(L39="","",L39-B39)))</f>
        <v>38</v>
      </c>
      <c r="O39" s="50" t="str">
        <f aca="false">IF(M39&lt;&gt;"Aberta","",IF(AND(K39&lt;&gt;"",K39&lt;DataRef),"Previsão vencida",IF(N39&gt;DiasParada,"Parada","")))</f>
        <v/>
      </c>
    </row>
    <row r="40" customFormat="false" ht="15" hidden="false" customHeight="false" outlineLevel="0" collapsed="false">
      <c r="A40" s="44" t="s">
        <v>176</v>
      </c>
      <c r="B40" s="45" t="n">
        <v>45964</v>
      </c>
      <c r="C40" s="46" t="s">
        <v>135</v>
      </c>
      <c r="D40" s="46" t="s">
        <v>119</v>
      </c>
      <c r="E40" s="7" t="str">
        <f aca="false">IF(C40="","",IFERROR(INDEX(cl_Regiao,MATCH(C40,cl_Nome,0)),""))</f>
        <v>Sudeste</v>
      </c>
      <c r="F40" s="46" t="s">
        <v>115</v>
      </c>
      <c r="G40" s="46" t="s">
        <v>111</v>
      </c>
      <c r="H40" s="47" t="n">
        <v>38100</v>
      </c>
      <c r="I40" s="48" t="n">
        <f aca="false">IF(G40="","",IFERROR(INDEX(pr_Prob,MATCH(G40,pr_Etapa,0)),0))</f>
        <v>0</v>
      </c>
      <c r="J40" s="49" t="n">
        <f aca="false">IF(H40="","",H40*I40)</f>
        <v>0</v>
      </c>
      <c r="K40" s="45"/>
      <c r="L40" s="45" t="n">
        <v>45988</v>
      </c>
      <c r="M40" s="50" t="str">
        <f aca="false">IF(G40="","",IF(G40="Fechado ganho","Ganha",IF(G40="Fechado perdido","Perdida","Aberta")))</f>
        <v>Perdida</v>
      </c>
      <c r="N40" s="51" t="n">
        <f aca="false">IF(B40="","",IF(M40="Aberta",DataRef-B40,IF(L40="","",L40-B40)))</f>
        <v>24</v>
      </c>
      <c r="O40" s="50" t="str">
        <f aca="false">IF(M40&lt;&gt;"Aberta","",IF(AND(K40&lt;&gt;"",K40&lt;DataRef),"Previsão vencida",IF(N40&gt;DiasParada,"Parada","")))</f>
        <v/>
      </c>
    </row>
    <row r="41" customFormat="false" ht="15" hidden="false" customHeight="false" outlineLevel="0" collapsed="false">
      <c r="A41" s="44" t="s">
        <v>177</v>
      </c>
      <c r="B41" s="45" t="n">
        <v>45965</v>
      </c>
      <c r="C41" s="46" t="s">
        <v>171</v>
      </c>
      <c r="D41" s="46" t="s">
        <v>165</v>
      </c>
      <c r="E41" s="7" t="str">
        <f aca="false">IF(C41="","",IFERROR(INDEX(cl_Regiao,MATCH(C41,cl_Nome,0)),""))</f>
        <v>Nordeste</v>
      </c>
      <c r="F41" s="46" t="s">
        <v>115</v>
      </c>
      <c r="G41" s="46" t="s">
        <v>111</v>
      </c>
      <c r="H41" s="47" t="n">
        <v>28900</v>
      </c>
      <c r="I41" s="48" t="n">
        <f aca="false">IF(G41="","",IFERROR(INDEX(pr_Prob,MATCH(G41,pr_Etapa,0)),0))</f>
        <v>0</v>
      </c>
      <c r="J41" s="49" t="n">
        <f aca="false">IF(H41="","",H41*I41)</f>
        <v>0</v>
      </c>
      <c r="K41" s="45"/>
      <c r="L41" s="45" t="n">
        <v>46019</v>
      </c>
      <c r="M41" s="50" t="str">
        <f aca="false">IF(G41="","",IF(G41="Fechado ganho","Ganha",IF(G41="Fechado perdido","Perdida","Aberta")))</f>
        <v>Perdida</v>
      </c>
      <c r="N41" s="51" t="n">
        <f aca="false">IF(B41="","",IF(M41="Aberta",DataRef-B41,IF(L41="","",L41-B41)))</f>
        <v>54</v>
      </c>
      <c r="O41" s="50" t="str">
        <f aca="false">IF(M41&lt;&gt;"Aberta","",IF(AND(K41&lt;&gt;"",K41&lt;DataRef),"Previsão vencida",IF(N41&gt;DiasParada,"Parada","")))</f>
        <v/>
      </c>
    </row>
    <row r="42" customFormat="false" ht="15" hidden="false" customHeight="false" outlineLevel="0" collapsed="false">
      <c r="A42" s="44" t="s">
        <v>178</v>
      </c>
      <c r="B42" s="45" t="n">
        <v>45967</v>
      </c>
      <c r="C42" s="46" t="s">
        <v>137</v>
      </c>
      <c r="D42" s="46" t="s">
        <v>114</v>
      </c>
      <c r="E42" s="7" t="str">
        <f aca="false">IF(C42="","",IFERROR(INDEX(cl_Regiao,MATCH(C42,cl_Nome,0)),""))</f>
        <v>Norte</v>
      </c>
      <c r="F42" s="46" t="s">
        <v>110</v>
      </c>
      <c r="G42" s="46" t="s">
        <v>116</v>
      </c>
      <c r="H42" s="47" t="n">
        <v>3400</v>
      </c>
      <c r="I42" s="48" t="n">
        <f aca="false">IF(G42="","",IFERROR(INDEX(pr_Prob,MATCH(G42,pr_Etapa,0)),0))</f>
        <v>1</v>
      </c>
      <c r="J42" s="49" t="n">
        <f aca="false">IF(H42="","",H42*I42)</f>
        <v>3400</v>
      </c>
      <c r="K42" s="45"/>
      <c r="L42" s="45" t="n">
        <v>45994</v>
      </c>
      <c r="M42" s="50" t="str">
        <f aca="false">IF(G42="","",IF(G42="Fechado ganho","Ganha",IF(G42="Fechado perdido","Perdida","Aberta")))</f>
        <v>Ganha</v>
      </c>
      <c r="N42" s="51" t="n">
        <f aca="false">IF(B42="","",IF(M42="Aberta",DataRef-B42,IF(L42="","",L42-B42)))</f>
        <v>27</v>
      </c>
      <c r="O42" s="50" t="str">
        <f aca="false">IF(M42&lt;&gt;"Aberta","",IF(AND(K42&lt;&gt;"",K42&lt;DataRef),"Previsão vencida",IF(N42&gt;DiasParada,"Parada","")))</f>
        <v/>
      </c>
    </row>
    <row r="43" customFormat="false" ht="15" hidden="false" customHeight="false" outlineLevel="0" collapsed="false">
      <c r="A43" s="44" t="s">
        <v>179</v>
      </c>
      <c r="B43" s="45" t="n">
        <v>45967</v>
      </c>
      <c r="C43" s="46" t="s">
        <v>180</v>
      </c>
      <c r="D43" s="46" t="s">
        <v>127</v>
      </c>
      <c r="E43" s="7" t="str">
        <f aca="false">IF(C43="","",IFERROR(INDEX(cl_Regiao,MATCH(C43,cl_Nome,0)),""))</f>
        <v>Sul</v>
      </c>
      <c r="F43" s="46" t="s">
        <v>128</v>
      </c>
      <c r="G43" s="46" t="s">
        <v>116</v>
      </c>
      <c r="H43" s="47" t="n">
        <v>31400</v>
      </c>
      <c r="I43" s="48" t="n">
        <f aca="false">IF(G43="","",IFERROR(INDEX(pr_Prob,MATCH(G43,pr_Etapa,0)),0))</f>
        <v>1</v>
      </c>
      <c r="J43" s="49" t="n">
        <f aca="false">IF(H43="","",H43*I43)</f>
        <v>31400</v>
      </c>
      <c r="K43" s="45"/>
      <c r="L43" s="45" t="n">
        <v>46041</v>
      </c>
      <c r="M43" s="50" t="str">
        <f aca="false">IF(G43="","",IF(G43="Fechado ganho","Ganha",IF(G43="Fechado perdido","Perdida","Aberta")))</f>
        <v>Ganha</v>
      </c>
      <c r="N43" s="51" t="n">
        <f aca="false">IF(B43="","",IF(M43="Aberta",DataRef-B43,IF(L43="","",L43-B43)))</f>
        <v>74</v>
      </c>
      <c r="O43" s="50" t="str">
        <f aca="false">IF(M43&lt;&gt;"Aberta","",IF(AND(K43&lt;&gt;"",K43&lt;DataRef),"Previsão vencida",IF(N43&gt;DiasParada,"Parada","")))</f>
        <v/>
      </c>
    </row>
    <row r="44" customFormat="false" ht="15" hidden="false" customHeight="false" outlineLevel="0" collapsed="false">
      <c r="A44" s="44" t="s">
        <v>181</v>
      </c>
      <c r="B44" s="45" t="n">
        <v>45968</v>
      </c>
      <c r="C44" s="46" t="s">
        <v>182</v>
      </c>
      <c r="D44" s="46" t="s">
        <v>109</v>
      </c>
      <c r="E44" s="7" t="str">
        <f aca="false">IF(C44="","",IFERROR(INDEX(cl_Regiao,MATCH(C44,cl_Nome,0)),""))</f>
        <v>Sudeste</v>
      </c>
      <c r="F44" s="46" t="s">
        <v>128</v>
      </c>
      <c r="G44" s="46" t="s">
        <v>116</v>
      </c>
      <c r="H44" s="47" t="n">
        <v>4700</v>
      </c>
      <c r="I44" s="48" t="n">
        <f aca="false">IF(G44="","",IFERROR(INDEX(pr_Prob,MATCH(G44,pr_Etapa,0)),0))</f>
        <v>1</v>
      </c>
      <c r="J44" s="49" t="n">
        <f aca="false">IF(H44="","",H44*I44)</f>
        <v>4700</v>
      </c>
      <c r="K44" s="45"/>
      <c r="L44" s="45" t="n">
        <v>45983</v>
      </c>
      <c r="M44" s="50" t="str">
        <f aca="false">IF(G44="","",IF(G44="Fechado ganho","Ganha",IF(G44="Fechado perdido","Perdida","Aberta")))</f>
        <v>Ganha</v>
      </c>
      <c r="N44" s="51" t="n">
        <f aca="false">IF(B44="","",IF(M44="Aberta",DataRef-B44,IF(L44="","",L44-B44)))</f>
        <v>15</v>
      </c>
      <c r="O44" s="50" t="str">
        <f aca="false">IF(M44&lt;&gt;"Aberta","",IF(AND(K44&lt;&gt;"",K44&lt;DataRef),"Previsão vencida",IF(N44&gt;DiasParada,"Parada","")))</f>
        <v/>
      </c>
    </row>
    <row r="45" customFormat="false" ht="15" hidden="false" customHeight="false" outlineLevel="0" collapsed="false">
      <c r="A45" s="44" t="s">
        <v>183</v>
      </c>
      <c r="B45" s="45" t="n">
        <v>45969</v>
      </c>
      <c r="C45" s="46" t="s">
        <v>148</v>
      </c>
      <c r="D45" s="46" t="s">
        <v>109</v>
      </c>
      <c r="E45" s="7" t="str">
        <f aca="false">IF(C45="","",IFERROR(INDEX(cl_Regiao,MATCH(C45,cl_Nome,0)),""))</f>
        <v>Sudeste</v>
      </c>
      <c r="F45" s="46" t="s">
        <v>115</v>
      </c>
      <c r="G45" s="46" t="s">
        <v>111</v>
      </c>
      <c r="H45" s="47" t="n">
        <v>72800</v>
      </c>
      <c r="I45" s="48" t="n">
        <f aca="false">IF(G45="","",IFERROR(INDEX(pr_Prob,MATCH(G45,pr_Etapa,0)),0))</f>
        <v>0</v>
      </c>
      <c r="J45" s="49" t="n">
        <f aca="false">IF(H45="","",H45*I45)</f>
        <v>0</v>
      </c>
      <c r="K45" s="45"/>
      <c r="L45" s="45" t="n">
        <v>46009</v>
      </c>
      <c r="M45" s="50" t="str">
        <f aca="false">IF(G45="","",IF(G45="Fechado ganho","Ganha",IF(G45="Fechado perdido","Perdida","Aberta")))</f>
        <v>Perdida</v>
      </c>
      <c r="N45" s="51" t="n">
        <f aca="false">IF(B45="","",IF(M45="Aberta",DataRef-B45,IF(L45="","",L45-B45)))</f>
        <v>40</v>
      </c>
      <c r="O45" s="50" t="str">
        <f aca="false">IF(M45&lt;&gt;"Aberta","",IF(AND(K45&lt;&gt;"",K45&lt;DataRef),"Previsão vencida",IF(N45&gt;DiasParada,"Parada","")))</f>
        <v/>
      </c>
    </row>
    <row r="46" customFormat="false" ht="15" hidden="false" customHeight="false" outlineLevel="0" collapsed="false">
      <c r="A46" s="44" t="s">
        <v>184</v>
      </c>
      <c r="B46" s="45" t="n">
        <v>45969</v>
      </c>
      <c r="C46" s="46" t="s">
        <v>175</v>
      </c>
      <c r="D46" s="46" t="s">
        <v>114</v>
      </c>
      <c r="E46" s="7" t="str">
        <f aca="false">IF(C46="","",IFERROR(INDEX(cl_Regiao,MATCH(C46,cl_Nome,0)),""))</f>
        <v>Norte</v>
      </c>
      <c r="F46" s="46" t="s">
        <v>122</v>
      </c>
      <c r="G46" s="46" t="s">
        <v>111</v>
      </c>
      <c r="H46" s="47" t="n">
        <v>19600</v>
      </c>
      <c r="I46" s="48" t="n">
        <f aca="false">IF(G46="","",IFERROR(INDEX(pr_Prob,MATCH(G46,pr_Etapa,0)),0))</f>
        <v>0</v>
      </c>
      <c r="J46" s="49" t="n">
        <f aca="false">IF(H46="","",H46*I46)</f>
        <v>0</v>
      </c>
      <c r="K46" s="45"/>
      <c r="L46" s="45" t="n">
        <v>46021</v>
      </c>
      <c r="M46" s="50" t="str">
        <f aca="false">IF(G46="","",IF(G46="Fechado ganho","Ganha",IF(G46="Fechado perdido","Perdida","Aberta")))</f>
        <v>Perdida</v>
      </c>
      <c r="N46" s="51" t="n">
        <f aca="false">IF(B46="","",IF(M46="Aberta",DataRef-B46,IF(L46="","",L46-B46)))</f>
        <v>52</v>
      </c>
      <c r="O46" s="50" t="str">
        <f aca="false">IF(M46&lt;&gt;"Aberta","",IF(AND(K46&lt;&gt;"",K46&lt;DataRef),"Previsão vencida",IF(N46&gt;DiasParada,"Parada","")))</f>
        <v/>
      </c>
    </row>
    <row r="47" customFormat="false" ht="15" hidden="false" customHeight="false" outlineLevel="0" collapsed="false">
      <c r="A47" s="44" t="s">
        <v>185</v>
      </c>
      <c r="B47" s="45" t="n">
        <v>45972</v>
      </c>
      <c r="C47" s="46" t="s">
        <v>186</v>
      </c>
      <c r="D47" s="46" t="s">
        <v>114</v>
      </c>
      <c r="E47" s="7" t="str">
        <f aca="false">IF(C47="","",IFERROR(INDEX(cl_Regiao,MATCH(C47,cl_Nome,0)),""))</f>
        <v>Norte</v>
      </c>
      <c r="F47" s="46" t="s">
        <v>115</v>
      </c>
      <c r="G47" s="46" t="s">
        <v>116</v>
      </c>
      <c r="H47" s="47" t="n">
        <v>17600</v>
      </c>
      <c r="I47" s="48" t="n">
        <f aca="false">IF(G47="","",IFERROR(INDEX(pr_Prob,MATCH(G47,pr_Etapa,0)),0))</f>
        <v>1</v>
      </c>
      <c r="J47" s="49" t="n">
        <f aca="false">IF(H47="","",H47*I47)</f>
        <v>17600</v>
      </c>
      <c r="K47" s="45"/>
      <c r="L47" s="45" t="n">
        <v>46007</v>
      </c>
      <c r="M47" s="50" t="str">
        <f aca="false">IF(G47="","",IF(G47="Fechado ganho","Ganha",IF(G47="Fechado perdido","Perdida","Aberta")))</f>
        <v>Ganha</v>
      </c>
      <c r="N47" s="51" t="n">
        <f aca="false">IF(B47="","",IF(M47="Aberta",DataRef-B47,IF(L47="","",L47-B47)))</f>
        <v>35</v>
      </c>
      <c r="O47" s="50" t="str">
        <f aca="false">IF(M47&lt;&gt;"Aberta","",IF(AND(K47&lt;&gt;"",K47&lt;DataRef),"Previsão vencida",IF(N47&gt;DiasParada,"Parada","")))</f>
        <v/>
      </c>
    </row>
    <row r="48" customFormat="false" ht="15" hidden="false" customHeight="false" outlineLevel="0" collapsed="false">
      <c r="A48" s="44" t="s">
        <v>187</v>
      </c>
      <c r="B48" s="45" t="n">
        <v>45974</v>
      </c>
      <c r="C48" s="46" t="s">
        <v>168</v>
      </c>
      <c r="D48" s="46" t="s">
        <v>127</v>
      </c>
      <c r="E48" s="7" t="str">
        <f aca="false">IF(C48="","",IFERROR(INDEX(cl_Regiao,MATCH(C48,cl_Nome,0)),""))</f>
        <v>Sul</v>
      </c>
      <c r="F48" s="46" t="s">
        <v>115</v>
      </c>
      <c r="G48" s="46" t="s">
        <v>111</v>
      </c>
      <c r="H48" s="47" t="n">
        <v>28500</v>
      </c>
      <c r="I48" s="48" t="n">
        <f aca="false">IF(G48="","",IFERROR(INDEX(pr_Prob,MATCH(G48,pr_Etapa,0)),0))</f>
        <v>0</v>
      </c>
      <c r="J48" s="49" t="n">
        <f aca="false">IF(H48="","",H48*I48)</f>
        <v>0</v>
      </c>
      <c r="K48" s="45"/>
      <c r="L48" s="45" t="n">
        <v>46009</v>
      </c>
      <c r="M48" s="50" t="str">
        <f aca="false">IF(G48="","",IF(G48="Fechado ganho","Ganha",IF(G48="Fechado perdido","Perdida","Aberta")))</f>
        <v>Perdida</v>
      </c>
      <c r="N48" s="51" t="n">
        <f aca="false">IF(B48="","",IF(M48="Aberta",DataRef-B48,IF(L48="","",L48-B48)))</f>
        <v>35</v>
      </c>
      <c r="O48" s="50" t="str">
        <f aca="false">IF(M48&lt;&gt;"Aberta","",IF(AND(K48&lt;&gt;"",K48&lt;DataRef),"Previsão vencida",IF(N48&gt;DiasParada,"Parada","")))</f>
        <v/>
      </c>
    </row>
    <row r="49" customFormat="false" ht="15" hidden="false" customHeight="false" outlineLevel="0" collapsed="false">
      <c r="A49" s="44" t="s">
        <v>188</v>
      </c>
      <c r="B49" s="45" t="n">
        <v>45976</v>
      </c>
      <c r="C49" s="46" t="s">
        <v>145</v>
      </c>
      <c r="D49" s="46" t="s">
        <v>114</v>
      </c>
      <c r="E49" s="7" t="str">
        <f aca="false">IF(C49="","",IFERROR(INDEX(cl_Regiao,MATCH(C49,cl_Nome,0)),""))</f>
        <v>Norte</v>
      </c>
      <c r="F49" s="46" t="s">
        <v>110</v>
      </c>
      <c r="G49" s="46" t="s">
        <v>116</v>
      </c>
      <c r="H49" s="47" t="n">
        <v>20100</v>
      </c>
      <c r="I49" s="48" t="n">
        <f aca="false">IF(G49="","",IFERROR(INDEX(pr_Prob,MATCH(G49,pr_Etapa,0)),0))</f>
        <v>1</v>
      </c>
      <c r="J49" s="49" t="n">
        <f aca="false">IF(H49="","",H49*I49)</f>
        <v>20100</v>
      </c>
      <c r="K49" s="45"/>
      <c r="L49" s="45" t="n">
        <v>46010</v>
      </c>
      <c r="M49" s="50" t="str">
        <f aca="false">IF(G49="","",IF(G49="Fechado ganho","Ganha",IF(G49="Fechado perdido","Perdida","Aberta")))</f>
        <v>Ganha</v>
      </c>
      <c r="N49" s="51" t="n">
        <f aca="false">IF(B49="","",IF(M49="Aberta",DataRef-B49,IF(L49="","",L49-B49)))</f>
        <v>34</v>
      </c>
      <c r="O49" s="50" t="str">
        <f aca="false">IF(M49&lt;&gt;"Aberta","",IF(AND(K49&lt;&gt;"",K49&lt;DataRef),"Previsão vencida",IF(N49&gt;DiasParada,"Parada","")))</f>
        <v/>
      </c>
    </row>
    <row r="50" customFormat="false" ht="15" hidden="false" customHeight="false" outlineLevel="0" collapsed="false">
      <c r="A50" s="44" t="s">
        <v>189</v>
      </c>
      <c r="B50" s="45" t="n">
        <v>45976</v>
      </c>
      <c r="C50" s="46" t="s">
        <v>158</v>
      </c>
      <c r="D50" s="46" t="s">
        <v>131</v>
      </c>
      <c r="E50" s="7" t="str">
        <f aca="false">IF(C50="","",IFERROR(INDEX(cl_Regiao,MATCH(C50,cl_Nome,0)),""))</f>
        <v>Centro-Oeste</v>
      </c>
      <c r="F50" s="46" t="s">
        <v>110</v>
      </c>
      <c r="G50" s="46" t="s">
        <v>116</v>
      </c>
      <c r="H50" s="47" t="n">
        <v>6000</v>
      </c>
      <c r="I50" s="48" t="n">
        <f aca="false">IF(G50="","",IFERROR(INDEX(pr_Prob,MATCH(G50,pr_Etapa,0)),0))</f>
        <v>1</v>
      </c>
      <c r="J50" s="49" t="n">
        <f aca="false">IF(H50="","",H50*I50)</f>
        <v>6000</v>
      </c>
      <c r="K50" s="45"/>
      <c r="L50" s="45" t="n">
        <v>46051</v>
      </c>
      <c r="M50" s="50" t="str">
        <f aca="false">IF(G50="","",IF(G50="Fechado ganho","Ganha",IF(G50="Fechado perdido","Perdida","Aberta")))</f>
        <v>Ganha</v>
      </c>
      <c r="N50" s="51" t="n">
        <f aca="false">IF(B50="","",IF(M50="Aberta",DataRef-B50,IF(L50="","",L50-B50)))</f>
        <v>75</v>
      </c>
      <c r="O50" s="50" t="str">
        <f aca="false">IF(M50&lt;&gt;"Aberta","",IF(AND(K50&lt;&gt;"",K50&lt;DataRef),"Previsão vencida",IF(N50&gt;DiasParada,"Parada","")))</f>
        <v/>
      </c>
    </row>
    <row r="51" customFormat="false" ht="15" hidden="false" customHeight="false" outlineLevel="0" collapsed="false">
      <c r="A51" s="44" t="s">
        <v>190</v>
      </c>
      <c r="B51" s="45" t="n">
        <v>45976</v>
      </c>
      <c r="C51" s="46" t="s">
        <v>133</v>
      </c>
      <c r="D51" s="46" t="s">
        <v>119</v>
      </c>
      <c r="E51" s="7" t="str">
        <f aca="false">IF(C51="","",IFERROR(INDEX(cl_Regiao,MATCH(C51,cl_Nome,0)),""))</f>
        <v>Sudeste</v>
      </c>
      <c r="F51" s="46" t="s">
        <v>110</v>
      </c>
      <c r="G51" s="46" t="s">
        <v>116</v>
      </c>
      <c r="H51" s="47" t="n">
        <v>13900</v>
      </c>
      <c r="I51" s="48" t="n">
        <f aca="false">IF(G51="","",IFERROR(INDEX(pr_Prob,MATCH(G51,pr_Etapa,0)),0))</f>
        <v>1</v>
      </c>
      <c r="J51" s="49" t="n">
        <f aca="false">IF(H51="","",H51*I51)</f>
        <v>13900</v>
      </c>
      <c r="K51" s="45"/>
      <c r="L51" s="45" t="n">
        <v>46035</v>
      </c>
      <c r="M51" s="50" t="str">
        <f aca="false">IF(G51="","",IF(G51="Fechado ganho","Ganha",IF(G51="Fechado perdido","Perdida","Aberta")))</f>
        <v>Ganha</v>
      </c>
      <c r="N51" s="51" t="n">
        <f aca="false">IF(B51="","",IF(M51="Aberta",DataRef-B51,IF(L51="","",L51-B51)))</f>
        <v>59</v>
      </c>
      <c r="O51" s="50" t="str">
        <f aca="false">IF(M51&lt;&gt;"Aberta","",IF(AND(K51&lt;&gt;"",K51&lt;DataRef),"Previsão vencida",IF(N51&gt;DiasParada,"Parada","")))</f>
        <v/>
      </c>
    </row>
    <row r="52" customFormat="false" ht="15" hidden="false" customHeight="false" outlineLevel="0" collapsed="false">
      <c r="A52" s="44" t="s">
        <v>191</v>
      </c>
      <c r="B52" s="45" t="n">
        <v>45977</v>
      </c>
      <c r="C52" s="46" t="s">
        <v>192</v>
      </c>
      <c r="D52" s="46" t="s">
        <v>119</v>
      </c>
      <c r="E52" s="7" t="str">
        <f aca="false">IF(C52="","",IFERROR(INDEX(cl_Regiao,MATCH(C52,cl_Nome,0)),""))</f>
        <v>Sudeste</v>
      </c>
      <c r="F52" s="46" t="s">
        <v>110</v>
      </c>
      <c r="G52" s="46" t="s">
        <v>116</v>
      </c>
      <c r="H52" s="47" t="n">
        <v>6400</v>
      </c>
      <c r="I52" s="48" t="n">
        <f aca="false">IF(G52="","",IFERROR(INDEX(pr_Prob,MATCH(G52,pr_Etapa,0)),0))</f>
        <v>1</v>
      </c>
      <c r="J52" s="49" t="n">
        <f aca="false">IF(H52="","",H52*I52)</f>
        <v>6400</v>
      </c>
      <c r="K52" s="45"/>
      <c r="L52" s="45" t="n">
        <v>46020</v>
      </c>
      <c r="M52" s="50" t="str">
        <f aca="false">IF(G52="","",IF(G52="Fechado ganho","Ganha",IF(G52="Fechado perdido","Perdida","Aberta")))</f>
        <v>Ganha</v>
      </c>
      <c r="N52" s="51" t="n">
        <f aca="false">IF(B52="","",IF(M52="Aberta",DataRef-B52,IF(L52="","",L52-B52)))</f>
        <v>43</v>
      </c>
      <c r="O52" s="50" t="str">
        <f aca="false">IF(M52&lt;&gt;"Aberta","",IF(AND(K52&lt;&gt;"",K52&lt;DataRef),"Previsão vencida",IF(N52&gt;DiasParada,"Parada","")))</f>
        <v/>
      </c>
    </row>
    <row r="53" customFormat="false" ht="15" hidden="false" customHeight="false" outlineLevel="0" collapsed="false">
      <c r="A53" s="44" t="s">
        <v>193</v>
      </c>
      <c r="B53" s="45" t="n">
        <v>45977</v>
      </c>
      <c r="C53" s="46" t="s">
        <v>141</v>
      </c>
      <c r="D53" s="46" t="s">
        <v>109</v>
      </c>
      <c r="E53" s="7" t="str">
        <f aca="false">IF(C53="","",IFERROR(INDEX(cl_Regiao,MATCH(C53,cl_Nome,0)),""))</f>
        <v>Sudeste</v>
      </c>
      <c r="F53" s="46" t="s">
        <v>115</v>
      </c>
      <c r="G53" s="46" t="s">
        <v>116</v>
      </c>
      <c r="H53" s="47" t="n">
        <v>66300</v>
      </c>
      <c r="I53" s="48" t="n">
        <f aca="false">IF(G53="","",IFERROR(INDEX(pr_Prob,MATCH(G53,pr_Etapa,0)),0))</f>
        <v>1</v>
      </c>
      <c r="J53" s="49" t="n">
        <f aca="false">IF(H53="","",H53*I53)</f>
        <v>66300</v>
      </c>
      <c r="K53" s="45"/>
      <c r="L53" s="45" t="n">
        <v>46025</v>
      </c>
      <c r="M53" s="50" t="str">
        <f aca="false">IF(G53="","",IF(G53="Fechado ganho","Ganha",IF(G53="Fechado perdido","Perdida","Aberta")))</f>
        <v>Ganha</v>
      </c>
      <c r="N53" s="51" t="n">
        <f aca="false">IF(B53="","",IF(M53="Aberta",DataRef-B53,IF(L53="","",L53-B53)))</f>
        <v>48</v>
      </c>
      <c r="O53" s="50" t="str">
        <f aca="false">IF(M53&lt;&gt;"Aberta","",IF(AND(K53&lt;&gt;"",K53&lt;DataRef),"Previsão vencida",IF(N53&gt;DiasParada,"Parada","")))</f>
        <v/>
      </c>
    </row>
    <row r="54" customFormat="false" ht="15" hidden="false" customHeight="false" outlineLevel="0" collapsed="false">
      <c r="A54" s="44" t="s">
        <v>194</v>
      </c>
      <c r="B54" s="45" t="n">
        <v>45978</v>
      </c>
      <c r="C54" s="46" t="s">
        <v>192</v>
      </c>
      <c r="D54" s="46" t="s">
        <v>119</v>
      </c>
      <c r="E54" s="7" t="str">
        <f aca="false">IF(C54="","",IFERROR(INDEX(cl_Regiao,MATCH(C54,cl_Nome,0)),""))</f>
        <v>Sudeste</v>
      </c>
      <c r="F54" s="46" t="s">
        <v>128</v>
      </c>
      <c r="G54" s="46" t="s">
        <v>116</v>
      </c>
      <c r="H54" s="47" t="n">
        <v>13200</v>
      </c>
      <c r="I54" s="48" t="n">
        <f aca="false">IF(G54="","",IFERROR(INDEX(pr_Prob,MATCH(G54,pr_Etapa,0)),0))</f>
        <v>1</v>
      </c>
      <c r="J54" s="49" t="n">
        <f aca="false">IF(H54="","",H54*I54)</f>
        <v>13200</v>
      </c>
      <c r="K54" s="45"/>
      <c r="L54" s="45" t="n">
        <v>45993</v>
      </c>
      <c r="M54" s="50" t="str">
        <f aca="false">IF(G54="","",IF(G54="Fechado ganho","Ganha",IF(G54="Fechado perdido","Perdida","Aberta")))</f>
        <v>Ganha</v>
      </c>
      <c r="N54" s="51" t="n">
        <f aca="false">IF(B54="","",IF(M54="Aberta",DataRef-B54,IF(L54="","",L54-B54)))</f>
        <v>15</v>
      </c>
      <c r="O54" s="50" t="str">
        <f aca="false">IF(M54&lt;&gt;"Aberta","",IF(AND(K54&lt;&gt;"",K54&lt;DataRef),"Previsão vencida",IF(N54&gt;DiasParada,"Parada","")))</f>
        <v/>
      </c>
    </row>
    <row r="55" customFormat="false" ht="15" hidden="false" customHeight="false" outlineLevel="0" collapsed="false">
      <c r="A55" s="44" t="s">
        <v>195</v>
      </c>
      <c r="B55" s="45" t="n">
        <v>45978</v>
      </c>
      <c r="C55" s="46" t="s">
        <v>168</v>
      </c>
      <c r="D55" s="46" t="s">
        <v>127</v>
      </c>
      <c r="E55" s="7" t="str">
        <f aca="false">IF(C55="","",IFERROR(INDEX(cl_Regiao,MATCH(C55,cl_Nome,0)),""))</f>
        <v>Sul</v>
      </c>
      <c r="F55" s="46" t="s">
        <v>110</v>
      </c>
      <c r="G55" s="46" t="s">
        <v>111</v>
      </c>
      <c r="H55" s="47" t="n">
        <v>1700</v>
      </c>
      <c r="I55" s="48" t="n">
        <f aca="false">IF(G55="","",IFERROR(INDEX(pr_Prob,MATCH(G55,pr_Etapa,0)),0))</f>
        <v>0</v>
      </c>
      <c r="J55" s="49" t="n">
        <f aca="false">IF(H55="","",H55*I55)</f>
        <v>0</v>
      </c>
      <c r="K55" s="45"/>
      <c r="L55" s="45" t="n">
        <v>46050</v>
      </c>
      <c r="M55" s="50" t="str">
        <f aca="false">IF(G55="","",IF(G55="Fechado ganho","Ganha",IF(G55="Fechado perdido","Perdida","Aberta")))</f>
        <v>Perdida</v>
      </c>
      <c r="N55" s="51" t="n">
        <f aca="false">IF(B55="","",IF(M55="Aberta",DataRef-B55,IF(L55="","",L55-B55)))</f>
        <v>72</v>
      </c>
      <c r="O55" s="50" t="str">
        <f aca="false">IF(M55&lt;&gt;"Aberta","",IF(AND(K55&lt;&gt;"",K55&lt;DataRef),"Previsão vencida",IF(N55&gt;DiasParada,"Parada","")))</f>
        <v/>
      </c>
    </row>
    <row r="56" customFormat="false" ht="15" hidden="false" customHeight="false" outlineLevel="0" collapsed="false">
      <c r="A56" s="44" t="s">
        <v>196</v>
      </c>
      <c r="B56" s="45" t="n">
        <v>45978</v>
      </c>
      <c r="C56" s="46" t="s">
        <v>175</v>
      </c>
      <c r="D56" s="46" t="s">
        <v>114</v>
      </c>
      <c r="E56" s="7" t="str">
        <f aca="false">IF(C56="","",IFERROR(INDEX(cl_Regiao,MATCH(C56,cl_Nome,0)),""))</f>
        <v>Norte</v>
      </c>
      <c r="F56" s="46" t="s">
        <v>122</v>
      </c>
      <c r="G56" s="46" t="s">
        <v>111</v>
      </c>
      <c r="H56" s="47" t="n">
        <v>29400</v>
      </c>
      <c r="I56" s="48" t="n">
        <f aca="false">IF(G56="","",IFERROR(INDEX(pr_Prob,MATCH(G56,pr_Etapa,0)),0))</f>
        <v>0</v>
      </c>
      <c r="J56" s="49" t="n">
        <f aca="false">IF(H56="","",H56*I56)</f>
        <v>0</v>
      </c>
      <c r="K56" s="45"/>
      <c r="L56" s="45" t="n">
        <v>46008</v>
      </c>
      <c r="M56" s="50" t="str">
        <f aca="false">IF(G56="","",IF(G56="Fechado ganho","Ganha",IF(G56="Fechado perdido","Perdida","Aberta")))</f>
        <v>Perdida</v>
      </c>
      <c r="N56" s="51" t="n">
        <f aca="false">IF(B56="","",IF(M56="Aberta",DataRef-B56,IF(L56="","",L56-B56)))</f>
        <v>30</v>
      </c>
      <c r="O56" s="50" t="str">
        <f aca="false">IF(M56&lt;&gt;"Aberta","",IF(AND(K56&lt;&gt;"",K56&lt;DataRef),"Previsão vencida",IF(N56&gt;DiasParada,"Parada","")))</f>
        <v/>
      </c>
    </row>
    <row r="57" customFormat="false" ht="15" hidden="false" customHeight="false" outlineLevel="0" collapsed="false">
      <c r="A57" s="44" t="s">
        <v>197</v>
      </c>
      <c r="B57" s="45" t="n">
        <v>45979</v>
      </c>
      <c r="C57" s="46" t="s">
        <v>186</v>
      </c>
      <c r="D57" s="46" t="s">
        <v>114</v>
      </c>
      <c r="E57" s="7" t="str">
        <f aca="false">IF(C57="","",IFERROR(INDEX(cl_Regiao,MATCH(C57,cl_Nome,0)),""))</f>
        <v>Norte</v>
      </c>
      <c r="F57" s="46" t="s">
        <v>128</v>
      </c>
      <c r="G57" s="46" t="s">
        <v>116</v>
      </c>
      <c r="H57" s="47" t="n">
        <v>39600</v>
      </c>
      <c r="I57" s="48" t="n">
        <f aca="false">IF(G57="","",IFERROR(INDEX(pr_Prob,MATCH(G57,pr_Etapa,0)),0))</f>
        <v>1</v>
      </c>
      <c r="J57" s="49" t="n">
        <f aca="false">IF(H57="","",H57*I57)</f>
        <v>39600</v>
      </c>
      <c r="K57" s="45"/>
      <c r="L57" s="45" t="n">
        <v>46002</v>
      </c>
      <c r="M57" s="50" t="str">
        <f aca="false">IF(G57="","",IF(G57="Fechado ganho","Ganha",IF(G57="Fechado perdido","Perdida","Aberta")))</f>
        <v>Ganha</v>
      </c>
      <c r="N57" s="51" t="n">
        <f aca="false">IF(B57="","",IF(M57="Aberta",DataRef-B57,IF(L57="","",L57-B57)))</f>
        <v>23</v>
      </c>
      <c r="O57" s="50" t="str">
        <f aca="false">IF(M57&lt;&gt;"Aberta","",IF(AND(K57&lt;&gt;"",K57&lt;DataRef),"Previsão vencida",IF(N57&gt;DiasParada,"Parada","")))</f>
        <v/>
      </c>
    </row>
    <row r="58" customFormat="false" ht="15" hidden="false" customHeight="false" outlineLevel="0" collapsed="false">
      <c r="A58" s="44" t="s">
        <v>198</v>
      </c>
      <c r="B58" s="45" t="n">
        <v>45981</v>
      </c>
      <c r="C58" s="46" t="s">
        <v>130</v>
      </c>
      <c r="D58" s="46" t="s">
        <v>131</v>
      </c>
      <c r="E58" s="7" t="str">
        <f aca="false">IF(C58="","",IFERROR(INDEX(cl_Regiao,MATCH(C58,cl_Nome,0)),""))</f>
        <v>Centro-Oeste</v>
      </c>
      <c r="F58" s="46" t="s">
        <v>128</v>
      </c>
      <c r="G58" s="46" t="s">
        <v>111</v>
      </c>
      <c r="H58" s="47" t="n">
        <v>6400</v>
      </c>
      <c r="I58" s="48" t="n">
        <f aca="false">IF(G58="","",IFERROR(INDEX(pr_Prob,MATCH(G58,pr_Etapa,0)),0))</f>
        <v>0</v>
      </c>
      <c r="J58" s="49" t="n">
        <f aca="false">IF(H58="","",H58*I58)</f>
        <v>0</v>
      </c>
      <c r="K58" s="45"/>
      <c r="L58" s="45" t="n">
        <v>46009</v>
      </c>
      <c r="M58" s="50" t="str">
        <f aca="false">IF(G58="","",IF(G58="Fechado ganho","Ganha",IF(G58="Fechado perdido","Perdida","Aberta")))</f>
        <v>Perdida</v>
      </c>
      <c r="N58" s="51" t="n">
        <f aca="false">IF(B58="","",IF(M58="Aberta",DataRef-B58,IF(L58="","",L58-B58)))</f>
        <v>28</v>
      </c>
      <c r="O58" s="50" t="str">
        <f aca="false">IF(M58&lt;&gt;"Aberta","",IF(AND(K58&lt;&gt;"",K58&lt;DataRef),"Previsão vencida",IF(N58&gt;DiasParada,"Parada","")))</f>
        <v/>
      </c>
    </row>
    <row r="59" customFormat="false" ht="15" hidden="false" customHeight="false" outlineLevel="0" collapsed="false">
      <c r="A59" s="44" t="s">
        <v>199</v>
      </c>
      <c r="B59" s="45" t="n">
        <v>45983</v>
      </c>
      <c r="C59" s="46" t="s">
        <v>108</v>
      </c>
      <c r="D59" s="46" t="s">
        <v>109</v>
      </c>
      <c r="E59" s="7" t="str">
        <f aca="false">IF(C59="","",IFERROR(INDEX(cl_Regiao,MATCH(C59,cl_Nome,0)),""))</f>
        <v>Sudeste</v>
      </c>
      <c r="F59" s="46" t="s">
        <v>110</v>
      </c>
      <c r="G59" s="46" t="s">
        <v>111</v>
      </c>
      <c r="H59" s="47" t="n">
        <v>3300</v>
      </c>
      <c r="I59" s="48" t="n">
        <f aca="false">IF(G59="","",IFERROR(INDEX(pr_Prob,MATCH(G59,pr_Etapa,0)),0))</f>
        <v>0</v>
      </c>
      <c r="J59" s="49" t="n">
        <f aca="false">IF(H59="","",H59*I59)</f>
        <v>0</v>
      </c>
      <c r="K59" s="45"/>
      <c r="L59" s="45" t="n">
        <v>46012</v>
      </c>
      <c r="M59" s="50" t="str">
        <f aca="false">IF(G59="","",IF(G59="Fechado ganho","Ganha",IF(G59="Fechado perdido","Perdida","Aberta")))</f>
        <v>Perdida</v>
      </c>
      <c r="N59" s="51" t="n">
        <f aca="false">IF(B59="","",IF(M59="Aberta",DataRef-B59,IF(L59="","",L59-B59)))</f>
        <v>29</v>
      </c>
      <c r="O59" s="50" t="str">
        <f aca="false">IF(M59&lt;&gt;"Aberta","",IF(AND(K59&lt;&gt;"",K59&lt;DataRef),"Previsão vencida",IF(N59&gt;DiasParada,"Parada","")))</f>
        <v/>
      </c>
    </row>
    <row r="60" customFormat="false" ht="15" hidden="false" customHeight="false" outlineLevel="0" collapsed="false">
      <c r="A60" s="44" t="s">
        <v>200</v>
      </c>
      <c r="B60" s="45" t="n">
        <v>45983</v>
      </c>
      <c r="C60" s="46" t="s">
        <v>201</v>
      </c>
      <c r="D60" s="46" t="s">
        <v>127</v>
      </c>
      <c r="E60" s="7" t="str">
        <f aca="false">IF(C60="","",IFERROR(INDEX(cl_Regiao,MATCH(C60,cl_Nome,0)),""))</f>
        <v>Sul</v>
      </c>
      <c r="F60" s="46" t="s">
        <v>110</v>
      </c>
      <c r="G60" s="46" t="s">
        <v>111</v>
      </c>
      <c r="H60" s="47" t="n">
        <v>4700</v>
      </c>
      <c r="I60" s="48" t="n">
        <f aca="false">IF(G60="","",IFERROR(INDEX(pr_Prob,MATCH(G60,pr_Etapa,0)),0))</f>
        <v>0</v>
      </c>
      <c r="J60" s="49" t="n">
        <f aca="false">IF(H60="","",H60*I60)</f>
        <v>0</v>
      </c>
      <c r="K60" s="45"/>
      <c r="L60" s="45" t="n">
        <v>46001</v>
      </c>
      <c r="M60" s="50" t="str">
        <f aca="false">IF(G60="","",IF(G60="Fechado ganho","Ganha",IF(G60="Fechado perdido","Perdida","Aberta")))</f>
        <v>Perdida</v>
      </c>
      <c r="N60" s="51" t="n">
        <f aca="false">IF(B60="","",IF(M60="Aberta",DataRef-B60,IF(L60="","",L60-B60)))</f>
        <v>18</v>
      </c>
      <c r="O60" s="50" t="str">
        <f aca="false">IF(M60&lt;&gt;"Aberta","",IF(AND(K60&lt;&gt;"",K60&lt;DataRef),"Previsão vencida",IF(N60&gt;DiasParada,"Parada","")))</f>
        <v/>
      </c>
    </row>
    <row r="61" customFormat="false" ht="15" hidden="false" customHeight="false" outlineLevel="0" collapsed="false">
      <c r="A61" s="44" t="s">
        <v>202</v>
      </c>
      <c r="B61" s="45" t="n">
        <v>45983</v>
      </c>
      <c r="C61" s="46" t="s">
        <v>175</v>
      </c>
      <c r="D61" s="46" t="s">
        <v>114</v>
      </c>
      <c r="E61" s="7" t="str">
        <f aca="false">IF(C61="","",IFERROR(INDEX(cl_Regiao,MATCH(C61,cl_Nome,0)),""))</f>
        <v>Norte</v>
      </c>
      <c r="F61" s="46" t="s">
        <v>115</v>
      </c>
      <c r="G61" s="46" t="s">
        <v>111</v>
      </c>
      <c r="H61" s="47" t="n">
        <v>106900</v>
      </c>
      <c r="I61" s="48" t="n">
        <f aca="false">IF(G61="","",IFERROR(INDEX(pr_Prob,MATCH(G61,pr_Etapa,0)),0))</f>
        <v>0</v>
      </c>
      <c r="J61" s="49" t="n">
        <f aca="false">IF(H61="","",H61*I61)</f>
        <v>0</v>
      </c>
      <c r="K61" s="45"/>
      <c r="L61" s="45" t="n">
        <v>46059</v>
      </c>
      <c r="M61" s="50" t="str">
        <f aca="false">IF(G61="","",IF(G61="Fechado ganho","Ganha",IF(G61="Fechado perdido","Perdida","Aberta")))</f>
        <v>Perdida</v>
      </c>
      <c r="N61" s="51" t="n">
        <f aca="false">IF(B61="","",IF(M61="Aberta",DataRef-B61,IF(L61="","",L61-B61)))</f>
        <v>76</v>
      </c>
      <c r="O61" s="50" t="str">
        <f aca="false">IF(M61&lt;&gt;"Aberta","",IF(AND(K61&lt;&gt;"",K61&lt;DataRef),"Previsão vencida",IF(N61&gt;DiasParada,"Parada","")))</f>
        <v/>
      </c>
    </row>
    <row r="62" customFormat="false" ht="15" hidden="false" customHeight="false" outlineLevel="0" collapsed="false">
      <c r="A62" s="44" t="s">
        <v>203</v>
      </c>
      <c r="B62" s="45" t="n">
        <v>45984</v>
      </c>
      <c r="C62" s="46" t="s">
        <v>121</v>
      </c>
      <c r="D62" s="46" t="s">
        <v>119</v>
      </c>
      <c r="E62" s="7" t="str">
        <f aca="false">IF(C62="","",IFERROR(INDEX(cl_Regiao,MATCH(C62,cl_Nome,0)),""))</f>
        <v>Sudeste</v>
      </c>
      <c r="F62" s="46" t="s">
        <v>122</v>
      </c>
      <c r="G62" s="46" t="s">
        <v>116</v>
      </c>
      <c r="H62" s="47" t="n">
        <v>11500</v>
      </c>
      <c r="I62" s="48" t="n">
        <f aca="false">IF(G62="","",IFERROR(INDEX(pr_Prob,MATCH(G62,pr_Etapa,0)),0))</f>
        <v>1</v>
      </c>
      <c r="J62" s="49" t="n">
        <f aca="false">IF(H62="","",H62*I62)</f>
        <v>11500</v>
      </c>
      <c r="K62" s="45"/>
      <c r="L62" s="45" t="n">
        <v>45996</v>
      </c>
      <c r="M62" s="50" t="str">
        <f aca="false">IF(G62="","",IF(G62="Fechado ganho","Ganha",IF(G62="Fechado perdido","Perdida","Aberta")))</f>
        <v>Ganha</v>
      </c>
      <c r="N62" s="51" t="n">
        <f aca="false">IF(B62="","",IF(M62="Aberta",DataRef-B62,IF(L62="","",L62-B62)))</f>
        <v>12</v>
      </c>
      <c r="O62" s="50" t="str">
        <f aca="false">IF(M62&lt;&gt;"Aberta","",IF(AND(K62&lt;&gt;"",K62&lt;DataRef),"Previsão vencida",IF(N62&gt;DiasParada,"Parada","")))</f>
        <v/>
      </c>
    </row>
    <row r="63" customFormat="false" ht="15" hidden="false" customHeight="false" outlineLevel="0" collapsed="false">
      <c r="A63" s="44" t="s">
        <v>204</v>
      </c>
      <c r="B63" s="45" t="n">
        <v>45987</v>
      </c>
      <c r="C63" s="46" t="s">
        <v>135</v>
      </c>
      <c r="D63" s="46" t="s">
        <v>119</v>
      </c>
      <c r="E63" s="7" t="str">
        <f aca="false">IF(C63="","",IFERROR(INDEX(cl_Regiao,MATCH(C63,cl_Nome,0)),""))</f>
        <v>Sudeste</v>
      </c>
      <c r="F63" s="46" t="s">
        <v>110</v>
      </c>
      <c r="G63" s="46" t="s">
        <v>116</v>
      </c>
      <c r="H63" s="47" t="n">
        <v>9000</v>
      </c>
      <c r="I63" s="48" t="n">
        <f aca="false">IF(G63="","",IFERROR(INDEX(pr_Prob,MATCH(G63,pr_Etapa,0)),0))</f>
        <v>1</v>
      </c>
      <c r="J63" s="49" t="n">
        <f aca="false">IF(H63="","",H63*I63)</f>
        <v>9000</v>
      </c>
      <c r="K63" s="45"/>
      <c r="L63" s="45" t="n">
        <v>46061</v>
      </c>
      <c r="M63" s="50" t="str">
        <f aca="false">IF(G63="","",IF(G63="Fechado ganho","Ganha",IF(G63="Fechado perdido","Perdida","Aberta")))</f>
        <v>Ganha</v>
      </c>
      <c r="N63" s="51" t="n">
        <f aca="false">IF(B63="","",IF(M63="Aberta",DataRef-B63,IF(L63="","",L63-B63)))</f>
        <v>74</v>
      </c>
      <c r="O63" s="50" t="str">
        <f aca="false">IF(M63&lt;&gt;"Aberta","",IF(AND(K63&lt;&gt;"",K63&lt;DataRef),"Previsão vencida",IF(N63&gt;DiasParada,"Parada","")))</f>
        <v/>
      </c>
    </row>
    <row r="64" customFormat="false" ht="15" hidden="false" customHeight="false" outlineLevel="0" collapsed="false">
      <c r="A64" s="44" t="s">
        <v>205</v>
      </c>
      <c r="B64" s="45" t="n">
        <v>45987</v>
      </c>
      <c r="C64" s="46" t="s">
        <v>137</v>
      </c>
      <c r="D64" s="46" t="s">
        <v>114</v>
      </c>
      <c r="E64" s="7" t="str">
        <f aca="false">IF(C64="","",IFERROR(INDEX(cl_Regiao,MATCH(C64,cl_Nome,0)),""))</f>
        <v>Norte</v>
      </c>
      <c r="F64" s="46" t="s">
        <v>128</v>
      </c>
      <c r="G64" s="46" t="s">
        <v>111</v>
      </c>
      <c r="H64" s="47" t="n">
        <v>15400</v>
      </c>
      <c r="I64" s="48" t="n">
        <f aca="false">IF(G64="","",IFERROR(INDEX(pr_Prob,MATCH(G64,pr_Etapa,0)),0))</f>
        <v>0</v>
      </c>
      <c r="J64" s="49" t="n">
        <f aca="false">IF(H64="","",H64*I64)</f>
        <v>0</v>
      </c>
      <c r="K64" s="45"/>
      <c r="L64" s="45" t="n">
        <v>46047</v>
      </c>
      <c r="M64" s="50" t="str">
        <f aca="false">IF(G64="","",IF(G64="Fechado ganho","Ganha",IF(G64="Fechado perdido","Perdida","Aberta")))</f>
        <v>Perdida</v>
      </c>
      <c r="N64" s="51" t="n">
        <f aca="false">IF(B64="","",IF(M64="Aberta",DataRef-B64,IF(L64="","",L64-B64)))</f>
        <v>60</v>
      </c>
      <c r="O64" s="50" t="str">
        <f aca="false">IF(M64&lt;&gt;"Aberta","",IF(AND(K64&lt;&gt;"",K64&lt;DataRef),"Previsão vencida",IF(N64&gt;DiasParada,"Parada","")))</f>
        <v/>
      </c>
    </row>
    <row r="65" customFormat="false" ht="15" hidden="false" customHeight="false" outlineLevel="0" collapsed="false">
      <c r="A65" s="44" t="s">
        <v>206</v>
      </c>
      <c r="B65" s="45" t="n">
        <v>45987</v>
      </c>
      <c r="C65" s="46" t="s">
        <v>207</v>
      </c>
      <c r="D65" s="46" t="s">
        <v>165</v>
      </c>
      <c r="E65" s="7" t="str">
        <f aca="false">IF(C65="","",IFERROR(INDEX(cl_Regiao,MATCH(C65,cl_Nome,0)),""))</f>
        <v>Nordeste</v>
      </c>
      <c r="F65" s="46" t="s">
        <v>128</v>
      </c>
      <c r="G65" s="46" t="s">
        <v>116</v>
      </c>
      <c r="H65" s="47" t="n">
        <v>16400</v>
      </c>
      <c r="I65" s="48" t="n">
        <f aca="false">IF(G65="","",IFERROR(INDEX(pr_Prob,MATCH(G65,pr_Etapa,0)),0))</f>
        <v>1</v>
      </c>
      <c r="J65" s="49" t="n">
        <f aca="false">IF(H65="","",H65*I65)</f>
        <v>16400</v>
      </c>
      <c r="K65" s="45"/>
      <c r="L65" s="45" t="n">
        <v>46030</v>
      </c>
      <c r="M65" s="50" t="str">
        <f aca="false">IF(G65="","",IF(G65="Fechado ganho","Ganha",IF(G65="Fechado perdido","Perdida","Aberta")))</f>
        <v>Ganha</v>
      </c>
      <c r="N65" s="51" t="n">
        <f aca="false">IF(B65="","",IF(M65="Aberta",DataRef-B65,IF(L65="","",L65-B65)))</f>
        <v>43</v>
      </c>
      <c r="O65" s="50" t="str">
        <f aca="false">IF(M65&lt;&gt;"Aberta","",IF(AND(K65&lt;&gt;"",K65&lt;DataRef),"Previsão vencida",IF(N65&gt;DiasParada,"Parada","")))</f>
        <v/>
      </c>
    </row>
    <row r="66" customFormat="false" ht="15" hidden="false" customHeight="false" outlineLevel="0" collapsed="false">
      <c r="A66" s="44" t="s">
        <v>208</v>
      </c>
      <c r="B66" s="45" t="n">
        <v>45990</v>
      </c>
      <c r="C66" s="46" t="s">
        <v>192</v>
      </c>
      <c r="D66" s="46" t="s">
        <v>119</v>
      </c>
      <c r="E66" s="7" t="str">
        <f aca="false">IF(C66="","",IFERROR(INDEX(cl_Regiao,MATCH(C66,cl_Nome,0)),""))</f>
        <v>Sudeste</v>
      </c>
      <c r="F66" s="46" t="s">
        <v>110</v>
      </c>
      <c r="G66" s="46" t="s">
        <v>116</v>
      </c>
      <c r="H66" s="47" t="n">
        <v>2800</v>
      </c>
      <c r="I66" s="48" t="n">
        <f aca="false">IF(G66="","",IFERROR(INDEX(pr_Prob,MATCH(G66,pr_Etapa,0)),0))</f>
        <v>1</v>
      </c>
      <c r="J66" s="49" t="n">
        <f aca="false">IF(H66="","",H66*I66)</f>
        <v>2800</v>
      </c>
      <c r="K66" s="45"/>
      <c r="L66" s="45" t="n">
        <v>46022</v>
      </c>
      <c r="M66" s="50" t="str">
        <f aca="false">IF(G66="","",IF(G66="Fechado ganho","Ganha",IF(G66="Fechado perdido","Perdida","Aberta")))</f>
        <v>Ganha</v>
      </c>
      <c r="N66" s="51" t="n">
        <f aca="false">IF(B66="","",IF(M66="Aberta",DataRef-B66,IF(L66="","",L66-B66)))</f>
        <v>32</v>
      </c>
      <c r="O66" s="50" t="str">
        <f aca="false">IF(M66&lt;&gt;"Aberta","",IF(AND(K66&lt;&gt;"",K66&lt;DataRef),"Previsão vencida",IF(N66&gt;DiasParada,"Parada","")))</f>
        <v/>
      </c>
    </row>
    <row r="67" customFormat="false" ht="15" hidden="false" customHeight="false" outlineLevel="0" collapsed="false">
      <c r="A67" s="44" t="s">
        <v>209</v>
      </c>
      <c r="B67" s="45" t="n">
        <v>45992</v>
      </c>
      <c r="C67" s="46" t="s">
        <v>108</v>
      </c>
      <c r="D67" s="46" t="s">
        <v>109</v>
      </c>
      <c r="E67" s="7" t="str">
        <f aca="false">IF(C67="","",IFERROR(INDEX(cl_Regiao,MATCH(C67,cl_Nome,0)),""))</f>
        <v>Sudeste</v>
      </c>
      <c r="F67" s="46" t="s">
        <v>115</v>
      </c>
      <c r="G67" s="46" t="s">
        <v>111</v>
      </c>
      <c r="H67" s="47" t="n">
        <v>18500</v>
      </c>
      <c r="I67" s="48" t="n">
        <f aca="false">IF(G67="","",IFERROR(INDEX(pr_Prob,MATCH(G67,pr_Etapa,0)),0))</f>
        <v>0</v>
      </c>
      <c r="J67" s="49" t="n">
        <f aca="false">IF(H67="","",H67*I67)</f>
        <v>0</v>
      </c>
      <c r="K67" s="45"/>
      <c r="L67" s="45" t="n">
        <v>46033</v>
      </c>
      <c r="M67" s="50" t="str">
        <f aca="false">IF(G67="","",IF(G67="Fechado ganho","Ganha",IF(G67="Fechado perdido","Perdida","Aberta")))</f>
        <v>Perdida</v>
      </c>
      <c r="N67" s="51" t="n">
        <f aca="false">IF(B67="","",IF(M67="Aberta",DataRef-B67,IF(L67="","",L67-B67)))</f>
        <v>41</v>
      </c>
      <c r="O67" s="50" t="str">
        <f aca="false">IF(M67&lt;&gt;"Aberta","",IF(AND(K67&lt;&gt;"",K67&lt;DataRef),"Previsão vencida",IF(N67&gt;DiasParada,"Parada","")))</f>
        <v/>
      </c>
    </row>
    <row r="68" customFormat="false" ht="15" hidden="false" customHeight="false" outlineLevel="0" collapsed="false">
      <c r="A68" s="44" t="s">
        <v>210</v>
      </c>
      <c r="B68" s="45" t="n">
        <v>45993</v>
      </c>
      <c r="C68" s="46" t="s">
        <v>171</v>
      </c>
      <c r="D68" s="46" t="s">
        <v>165</v>
      </c>
      <c r="E68" s="7" t="str">
        <f aca="false">IF(C68="","",IFERROR(INDEX(cl_Regiao,MATCH(C68,cl_Nome,0)),""))</f>
        <v>Nordeste</v>
      </c>
      <c r="F68" s="46" t="s">
        <v>122</v>
      </c>
      <c r="G68" s="46" t="s">
        <v>116</v>
      </c>
      <c r="H68" s="47" t="n">
        <v>5600</v>
      </c>
      <c r="I68" s="48" t="n">
        <f aca="false">IF(G68="","",IFERROR(INDEX(pr_Prob,MATCH(G68,pr_Etapa,0)),0))</f>
        <v>1</v>
      </c>
      <c r="J68" s="49" t="n">
        <f aca="false">IF(H68="","",H68*I68)</f>
        <v>5600</v>
      </c>
      <c r="K68" s="45"/>
      <c r="L68" s="45" t="n">
        <v>46031</v>
      </c>
      <c r="M68" s="50" t="str">
        <f aca="false">IF(G68="","",IF(G68="Fechado ganho","Ganha",IF(G68="Fechado perdido","Perdida","Aberta")))</f>
        <v>Ganha</v>
      </c>
      <c r="N68" s="51" t="n">
        <f aca="false">IF(B68="","",IF(M68="Aberta",DataRef-B68,IF(L68="","",L68-B68)))</f>
        <v>38</v>
      </c>
      <c r="O68" s="50" t="str">
        <f aca="false">IF(M68&lt;&gt;"Aberta","",IF(AND(K68&lt;&gt;"",K68&lt;DataRef),"Previsão vencida",IF(N68&gt;DiasParada,"Parada","")))</f>
        <v/>
      </c>
    </row>
    <row r="69" customFormat="false" ht="15" hidden="false" customHeight="false" outlineLevel="0" collapsed="false">
      <c r="A69" s="44" t="s">
        <v>211</v>
      </c>
      <c r="B69" s="45" t="n">
        <v>45993</v>
      </c>
      <c r="C69" s="46" t="s">
        <v>182</v>
      </c>
      <c r="D69" s="46" t="s">
        <v>109</v>
      </c>
      <c r="E69" s="7" t="str">
        <f aca="false">IF(C69="","",IFERROR(INDEX(cl_Regiao,MATCH(C69,cl_Nome,0)),""))</f>
        <v>Sudeste</v>
      </c>
      <c r="F69" s="46" t="s">
        <v>110</v>
      </c>
      <c r="G69" s="46" t="s">
        <v>116</v>
      </c>
      <c r="H69" s="47" t="n">
        <v>12300</v>
      </c>
      <c r="I69" s="48" t="n">
        <f aca="false">IF(G69="","",IFERROR(INDEX(pr_Prob,MATCH(G69,pr_Etapa,0)),0))</f>
        <v>1</v>
      </c>
      <c r="J69" s="49" t="n">
        <f aca="false">IF(H69="","",H69*I69)</f>
        <v>12300</v>
      </c>
      <c r="K69" s="45"/>
      <c r="L69" s="45" t="n">
        <v>46042</v>
      </c>
      <c r="M69" s="50" t="str">
        <f aca="false">IF(G69="","",IF(G69="Fechado ganho","Ganha",IF(G69="Fechado perdido","Perdida","Aberta")))</f>
        <v>Ganha</v>
      </c>
      <c r="N69" s="51" t="n">
        <f aca="false">IF(B69="","",IF(M69="Aberta",DataRef-B69,IF(L69="","",L69-B69)))</f>
        <v>49</v>
      </c>
      <c r="O69" s="50" t="str">
        <f aca="false">IF(M69&lt;&gt;"Aberta","",IF(AND(K69&lt;&gt;"",K69&lt;DataRef),"Previsão vencida",IF(N69&gt;DiasParada,"Parada","")))</f>
        <v/>
      </c>
    </row>
    <row r="70" customFormat="false" ht="15" hidden="false" customHeight="false" outlineLevel="0" collapsed="false">
      <c r="A70" s="44" t="s">
        <v>212</v>
      </c>
      <c r="B70" s="45" t="n">
        <v>45993</v>
      </c>
      <c r="C70" s="46" t="s">
        <v>162</v>
      </c>
      <c r="D70" s="46" t="s">
        <v>131</v>
      </c>
      <c r="E70" s="7" t="str">
        <f aca="false">IF(C70="","",IFERROR(INDEX(cl_Regiao,MATCH(C70,cl_Nome,0)),""))</f>
        <v>Centro-Oeste</v>
      </c>
      <c r="F70" s="46" t="s">
        <v>128</v>
      </c>
      <c r="G70" s="46" t="s">
        <v>111</v>
      </c>
      <c r="H70" s="47" t="n">
        <v>18100</v>
      </c>
      <c r="I70" s="48" t="n">
        <f aca="false">IF(G70="","",IFERROR(INDEX(pr_Prob,MATCH(G70,pr_Etapa,0)),0))</f>
        <v>0</v>
      </c>
      <c r="J70" s="49" t="n">
        <f aca="false">IF(H70="","",H70*I70)</f>
        <v>0</v>
      </c>
      <c r="K70" s="45"/>
      <c r="L70" s="45" t="n">
        <v>46007</v>
      </c>
      <c r="M70" s="50" t="str">
        <f aca="false">IF(G70="","",IF(G70="Fechado ganho","Ganha",IF(G70="Fechado perdido","Perdida","Aberta")))</f>
        <v>Perdida</v>
      </c>
      <c r="N70" s="51" t="n">
        <f aca="false">IF(B70="","",IF(M70="Aberta",DataRef-B70,IF(L70="","",L70-B70)))</f>
        <v>14</v>
      </c>
      <c r="O70" s="50" t="str">
        <f aca="false">IF(M70&lt;&gt;"Aberta","",IF(AND(K70&lt;&gt;"",K70&lt;DataRef),"Previsão vencida",IF(N70&gt;DiasParada,"Parada","")))</f>
        <v/>
      </c>
    </row>
    <row r="71" customFormat="false" ht="15" hidden="false" customHeight="false" outlineLevel="0" collapsed="false">
      <c r="A71" s="44" t="s">
        <v>213</v>
      </c>
      <c r="B71" s="45" t="n">
        <v>45993</v>
      </c>
      <c r="C71" s="46" t="s">
        <v>141</v>
      </c>
      <c r="D71" s="46" t="s">
        <v>109</v>
      </c>
      <c r="E71" s="7" t="str">
        <f aca="false">IF(C71="","",IFERROR(INDEX(cl_Regiao,MATCH(C71,cl_Nome,0)),""))</f>
        <v>Sudeste</v>
      </c>
      <c r="F71" s="46" t="s">
        <v>122</v>
      </c>
      <c r="G71" s="46" t="s">
        <v>111</v>
      </c>
      <c r="H71" s="47" t="n">
        <v>16700</v>
      </c>
      <c r="I71" s="48" t="n">
        <f aca="false">IF(G71="","",IFERROR(INDEX(pr_Prob,MATCH(G71,pr_Etapa,0)),0))</f>
        <v>0</v>
      </c>
      <c r="J71" s="49" t="n">
        <f aca="false">IF(H71="","",H71*I71)</f>
        <v>0</v>
      </c>
      <c r="K71" s="45"/>
      <c r="L71" s="45" t="n">
        <v>46037</v>
      </c>
      <c r="M71" s="50" t="str">
        <f aca="false">IF(G71="","",IF(G71="Fechado ganho","Ganha",IF(G71="Fechado perdido","Perdida","Aberta")))</f>
        <v>Perdida</v>
      </c>
      <c r="N71" s="51" t="n">
        <f aca="false">IF(B71="","",IF(M71="Aberta",DataRef-B71,IF(L71="","",L71-B71)))</f>
        <v>44</v>
      </c>
      <c r="O71" s="50" t="str">
        <f aca="false">IF(M71&lt;&gt;"Aberta","",IF(AND(K71&lt;&gt;"",K71&lt;DataRef),"Previsão vencida",IF(N71&gt;DiasParada,"Parada","")))</f>
        <v/>
      </c>
    </row>
    <row r="72" customFormat="false" ht="15" hidden="false" customHeight="false" outlineLevel="0" collapsed="false">
      <c r="A72" s="44" t="s">
        <v>214</v>
      </c>
      <c r="B72" s="45" t="n">
        <v>45997</v>
      </c>
      <c r="C72" s="46" t="s">
        <v>113</v>
      </c>
      <c r="D72" s="46" t="s">
        <v>114</v>
      </c>
      <c r="E72" s="7" t="str">
        <f aca="false">IF(C72="","",IFERROR(INDEX(cl_Regiao,MATCH(C72,cl_Nome,0)),""))</f>
        <v>Norte</v>
      </c>
      <c r="F72" s="46" t="s">
        <v>110</v>
      </c>
      <c r="G72" s="46" t="s">
        <v>111</v>
      </c>
      <c r="H72" s="47" t="n">
        <v>4200</v>
      </c>
      <c r="I72" s="48" t="n">
        <f aca="false">IF(G72="","",IFERROR(INDEX(pr_Prob,MATCH(G72,pr_Etapa,0)),0))</f>
        <v>0</v>
      </c>
      <c r="J72" s="49" t="n">
        <f aca="false">IF(H72="","",H72*I72)</f>
        <v>0</v>
      </c>
      <c r="K72" s="45"/>
      <c r="L72" s="45" t="n">
        <v>46070</v>
      </c>
      <c r="M72" s="50" t="str">
        <f aca="false">IF(G72="","",IF(G72="Fechado ganho","Ganha",IF(G72="Fechado perdido","Perdida","Aberta")))</f>
        <v>Perdida</v>
      </c>
      <c r="N72" s="51" t="n">
        <f aca="false">IF(B72="","",IF(M72="Aberta",DataRef-B72,IF(L72="","",L72-B72)))</f>
        <v>73</v>
      </c>
      <c r="O72" s="50" t="str">
        <f aca="false">IF(M72&lt;&gt;"Aberta","",IF(AND(K72&lt;&gt;"",K72&lt;DataRef),"Previsão vencida",IF(N72&gt;DiasParada,"Parada","")))</f>
        <v/>
      </c>
    </row>
    <row r="73" customFormat="false" ht="15" hidden="false" customHeight="false" outlineLevel="0" collapsed="false">
      <c r="A73" s="44" t="s">
        <v>215</v>
      </c>
      <c r="B73" s="45" t="n">
        <v>45998</v>
      </c>
      <c r="C73" s="46" t="s">
        <v>126</v>
      </c>
      <c r="D73" s="46" t="s">
        <v>127</v>
      </c>
      <c r="E73" s="7" t="str">
        <f aca="false">IF(C73="","",IFERROR(INDEX(cl_Regiao,MATCH(C73,cl_Nome,0)),""))</f>
        <v>Sul</v>
      </c>
      <c r="F73" s="46" t="s">
        <v>122</v>
      </c>
      <c r="G73" s="46" t="s">
        <v>111</v>
      </c>
      <c r="H73" s="47" t="n">
        <v>10300</v>
      </c>
      <c r="I73" s="48" t="n">
        <f aca="false">IF(G73="","",IFERROR(INDEX(pr_Prob,MATCH(G73,pr_Etapa,0)),0))</f>
        <v>0</v>
      </c>
      <c r="J73" s="49" t="n">
        <f aca="false">IF(H73="","",H73*I73)</f>
        <v>0</v>
      </c>
      <c r="K73" s="45"/>
      <c r="L73" s="45" t="n">
        <v>46065</v>
      </c>
      <c r="M73" s="50" t="str">
        <f aca="false">IF(G73="","",IF(G73="Fechado ganho","Ganha",IF(G73="Fechado perdido","Perdida","Aberta")))</f>
        <v>Perdida</v>
      </c>
      <c r="N73" s="51" t="n">
        <f aca="false">IF(B73="","",IF(M73="Aberta",DataRef-B73,IF(L73="","",L73-B73)))</f>
        <v>67</v>
      </c>
      <c r="O73" s="50" t="str">
        <f aca="false">IF(M73&lt;&gt;"Aberta","",IF(AND(K73&lt;&gt;"",K73&lt;DataRef),"Previsão vencida",IF(N73&gt;DiasParada,"Parada","")))</f>
        <v/>
      </c>
    </row>
    <row r="74" customFormat="false" ht="15" hidden="false" customHeight="false" outlineLevel="0" collapsed="false">
      <c r="A74" s="44" t="s">
        <v>216</v>
      </c>
      <c r="B74" s="45" t="n">
        <v>46001</v>
      </c>
      <c r="C74" s="46" t="s">
        <v>153</v>
      </c>
      <c r="D74" s="46" t="s">
        <v>131</v>
      </c>
      <c r="E74" s="7" t="str">
        <f aca="false">IF(C74="","",IFERROR(INDEX(cl_Regiao,MATCH(C74,cl_Nome,0)),""))</f>
        <v>Centro-Oeste</v>
      </c>
      <c r="F74" s="46" t="s">
        <v>122</v>
      </c>
      <c r="G74" s="46" t="s">
        <v>111</v>
      </c>
      <c r="H74" s="47" t="n">
        <v>5900</v>
      </c>
      <c r="I74" s="48" t="n">
        <f aca="false">IF(G74="","",IFERROR(INDEX(pr_Prob,MATCH(G74,pr_Etapa,0)),0))</f>
        <v>0</v>
      </c>
      <c r="J74" s="49" t="n">
        <f aca="false">IF(H74="","",H74*I74)</f>
        <v>0</v>
      </c>
      <c r="K74" s="45"/>
      <c r="L74" s="45" t="n">
        <v>46081</v>
      </c>
      <c r="M74" s="50" t="str">
        <f aca="false">IF(G74="","",IF(G74="Fechado ganho","Ganha",IF(G74="Fechado perdido","Perdida","Aberta")))</f>
        <v>Perdida</v>
      </c>
      <c r="N74" s="51" t="n">
        <f aca="false">IF(B74="","",IF(M74="Aberta",DataRef-B74,IF(L74="","",L74-B74)))</f>
        <v>80</v>
      </c>
      <c r="O74" s="50" t="str">
        <f aca="false">IF(M74&lt;&gt;"Aberta","",IF(AND(K74&lt;&gt;"",K74&lt;DataRef),"Previsão vencida",IF(N74&gt;DiasParada,"Parada","")))</f>
        <v/>
      </c>
    </row>
    <row r="75" customFormat="false" ht="15" hidden="false" customHeight="false" outlineLevel="0" collapsed="false">
      <c r="A75" s="44" t="s">
        <v>217</v>
      </c>
      <c r="B75" s="45" t="n">
        <v>46002</v>
      </c>
      <c r="C75" s="46" t="s">
        <v>141</v>
      </c>
      <c r="D75" s="46" t="s">
        <v>109</v>
      </c>
      <c r="E75" s="7" t="str">
        <f aca="false">IF(C75="","",IFERROR(INDEX(cl_Regiao,MATCH(C75,cl_Nome,0)),""))</f>
        <v>Sudeste</v>
      </c>
      <c r="F75" s="46" t="s">
        <v>110</v>
      </c>
      <c r="G75" s="46" t="s">
        <v>111</v>
      </c>
      <c r="H75" s="47" t="n">
        <v>5300</v>
      </c>
      <c r="I75" s="48" t="n">
        <f aca="false">IF(G75="","",IFERROR(INDEX(pr_Prob,MATCH(G75,pr_Etapa,0)),0))</f>
        <v>0</v>
      </c>
      <c r="J75" s="49" t="n">
        <f aca="false">IF(H75="","",H75*I75)</f>
        <v>0</v>
      </c>
      <c r="K75" s="45"/>
      <c r="L75" s="45" t="n">
        <v>46079</v>
      </c>
      <c r="M75" s="50" t="str">
        <f aca="false">IF(G75="","",IF(G75="Fechado ganho","Ganha",IF(G75="Fechado perdido","Perdida","Aberta")))</f>
        <v>Perdida</v>
      </c>
      <c r="N75" s="51" t="n">
        <f aca="false">IF(B75="","",IF(M75="Aberta",DataRef-B75,IF(L75="","",L75-B75)))</f>
        <v>77</v>
      </c>
      <c r="O75" s="50" t="str">
        <f aca="false">IF(M75&lt;&gt;"Aberta","",IF(AND(K75&lt;&gt;"",K75&lt;DataRef),"Previsão vencida",IF(N75&gt;DiasParada,"Parada","")))</f>
        <v/>
      </c>
    </row>
    <row r="76" customFormat="false" ht="15" hidden="false" customHeight="false" outlineLevel="0" collapsed="false">
      <c r="A76" s="44" t="s">
        <v>218</v>
      </c>
      <c r="B76" s="45" t="n">
        <v>46003</v>
      </c>
      <c r="C76" s="46" t="s">
        <v>145</v>
      </c>
      <c r="D76" s="46" t="s">
        <v>114</v>
      </c>
      <c r="E76" s="7" t="str">
        <f aca="false">IF(C76="","",IFERROR(INDEX(cl_Regiao,MATCH(C76,cl_Nome,0)),""))</f>
        <v>Norte</v>
      </c>
      <c r="F76" s="46" t="s">
        <v>115</v>
      </c>
      <c r="G76" s="46" t="s">
        <v>111</v>
      </c>
      <c r="H76" s="47" t="n">
        <v>72900</v>
      </c>
      <c r="I76" s="48" t="n">
        <f aca="false">IF(G76="","",IFERROR(INDEX(pr_Prob,MATCH(G76,pr_Etapa,0)),0))</f>
        <v>0</v>
      </c>
      <c r="J76" s="49" t="n">
        <f aca="false">IF(H76="","",H76*I76)</f>
        <v>0</v>
      </c>
      <c r="K76" s="45"/>
      <c r="L76" s="45" t="n">
        <v>46028</v>
      </c>
      <c r="M76" s="50" t="str">
        <f aca="false">IF(G76="","",IF(G76="Fechado ganho","Ganha",IF(G76="Fechado perdido","Perdida","Aberta")))</f>
        <v>Perdida</v>
      </c>
      <c r="N76" s="51" t="n">
        <f aca="false">IF(B76="","",IF(M76="Aberta",DataRef-B76,IF(L76="","",L76-B76)))</f>
        <v>25</v>
      </c>
      <c r="O76" s="50" t="str">
        <f aca="false">IF(M76&lt;&gt;"Aberta","",IF(AND(K76&lt;&gt;"",K76&lt;DataRef),"Previsão vencida",IF(N76&gt;DiasParada,"Parada","")))</f>
        <v/>
      </c>
    </row>
    <row r="77" customFormat="false" ht="15" hidden="false" customHeight="false" outlineLevel="0" collapsed="false">
      <c r="A77" s="44" t="s">
        <v>219</v>
      </c>
      <c r="B77" s="45" t="n">
        <v>46003</v>
      </c>
      <c r="C77" s="46" t="s">
        <v>139</v>
      </c>
      <c r="D77" s="46" t="s">
        <v>131</v>
      </c>
      <c r="E77" s="7" t="str">
        <f aca="false">IF(C77="","",IFERROR(INDEX(cl_Regiao,MATCH(C77,cl_Nome,0)),""))</f>
        <v>Centro-Oeste</v>
      </c>
      <c r="F77" s="46" t="s">
        <v>128</v>
      </c>
      <c r="G77" s="46" t="s">
        <v>116</v>
      </c>
      <c r="H77" s="47" t="n">
        <v>15000</v>
      </c>
      <c r="I77" s="48" t="n">
        <f aca="false">IF(G77="","",IFERROR(INDEX(pr_Prob,MATCH(G77,pr_Etapa,0)),0))</f>
        <v>1</v>
      </c>
      <c r="J77" s="49" t="n">
        <f aca="false">IF(H77="","",H77*I77)</f>
        <v>15000</v>
      </c>
      <c r="K77" s="45"/>
      <c r="L77" s="45" t="n">
        <v>46052</v>
      </c>
      <c r="M77" s="50" t="str">
        <f aca="false">IF(G77="","",IF(G77="Fechado ganho","Ganha",IF(G77="Fechado perdido","Perdida","Aberta")))</f>
        <v>Ganha</v>
      </c>
      <c r="N77" s="51" t="n">
        <f aca="false">IF(B77="","",IF(M77="Aberta",DataRef-B77,IF(L77="","",L77-B77)))</f>
        <v>49</v>
      </c>
      <c r="O77" s="50" t="str">
        <f aca="false">IF(M77&lt;&gt;"Aberta","",IF(AND(K77&lt;&gt;"",K77&lt;DataRef),"Previsão vencida",IF(N77&gt;DiasParada,"Parada","")))</f>
        <v/>
      </c>
    </row>
    <row r="78" customFormat="false" ht="15" hidden="false" customHeight="false" outlineLevel="0" collapsed="false">
      <c r="A78" s="44" t="s">
        <v>220</v>
      </c>
      <c r="B78" s="45" t="n">
        <v>46005</v>
      </c>
      <c r="C78" s="46" t="s">
        <v>182</v>
      </c>
      <c r="D78" s="46" t="s">
        <v>109</v>
      </c>
      <c r="E78" s="7" t="str">
        <f aca="false">IF(C78="","",IFERROR(INDEX(cl_Regiao,MATCH(C78,cl_Nome,0)),""))</f>
        <v>Sudeste</v>
      </c>
      <c r="F78" s="46" t="s">
        <v>122</v>
      </c>
      <c r="G78" s="46" t="s">
        <v>116</v>
      </c>
      <c r="H78" s="47" t="n">
        <v>3000</v>
      </c>
      <c r="I78" s="48" t="n">
        <f aca="false">IF(G78="","",IFERROR(INDEX(pr_Prob,MATCH(G78,pr_Etapa,0)),0))</f>
        <v>1</v>
      </c>
      <c r="J78" s="49" t="n">
        <f aca="false">IF(H78="","",H78*I78)</f>
        <v>3000</v>
      </c>
      <c r="K78" s="45"/>
      <c r="L78" s="45" t="n">
        <v>46054</v>
      </c>
      <c r="M78" s="50" t="str">
        <f aca="false">IF(G78="","",IF(G78="Fechado ganho","Ganha",IF(G78="Fechado perdido","Perdida","Aberta")))</f>
        <v>Ganha</v>
      </c>
      <c r="N78" s="51" t="n">
        <f aca="false">IF(B78="","",IF(M78="Aberta",DataRef-B78,IF(L78="","",L78-B78)))</f>
        <v>49</v>
      </c>
      <c r="O78" s="50" t="str">
        <f aca="false">IF(M78&lt;&gt;"Aberta","",IF(AND(K78&lt;&gt;"",K78&lt;DataRef),"Previsão vencida",IF(N78&gt;DiasParada,"Parada","")))</f>
        <v/>
      </c>
    </row>
    <row r="79" customFormat="false" ht="15" hidden="false" customHeight="false" outlineLevel="0" collapsed="false">
      <c r="A79" s="44" t="s">
        <v>221</v>
      </c>
      <c r="B79" s="45" t="n">
        <v>46006</v>
      </c>
      <c r="C79" s="46" t="s">
        <v>207</v>
      </c>
      <c r="D79" s="46" t="s">
        <v>165</v>
      </c>
      <c r="E79" s="7" t="str">
        <f aca="false">IF(C79="","",IFERROR(INDEX(cl_Regiao,MATCH(C79,cl_Nome,0)),""))</f>
        <v>Nordeste</v>
      </c>
      <c r="F79" s="46" t="s">
        <v>110</v>
      </c>
      <c r="G79" s="46" t="s">
        <v>116</v>
      </c>
      <c r="H79" s="47" t="n">
        <v>11200</v>
      </c>
      <c r="I79" s="48" t="n">
        <f aca="false">IF(G79="","",IFERROR(INDEX(pr_Prob,MATCH(G79,pr_Etapa,0)),0))</f>
        <v>1</v>
      </c>
      <c r="J79" s="49" t="n">
        <f aca="false">IF(H79="","",H79*I79)</f>
        <v>11200</v>
      </c>
      <c r="K79" s="45"/>
      <c r="L79" s="45" t="n">
        <v>46034</v>
      </c>
      <c r="M79" s="50" t="str">
        <f aca="false">IF(G79="","",IF(G79="Fechado ganho","Ganha",IF(G79="Fechado perdido","Perdida","Aberta")))</f>
        <v>Ganha</v>
      </c>
      <c r="N79" s="51" t="n">
        <f aca="false">IF(B79="","",IF(M79="Aberta",DataRef-B79,IF(L79="","",L79-B79)))</f>
        <v>28</v>
      </c>
      <c r="O79" s="50" t="str">
        <f aca="false">IF(M79&lt;&gt;"Aberta","",IF(AND(K79&lt;&gt;"",K79&lt;DataRef),"Previsão vencida",IF(N79&gt;DiasParada,"Parada","")))</f>
        <v/>
      </c>
    </row>
    <row r="80" customFormat="false" ht="15" hidden="false" customHeight="false" outlineLevel="0" collapsed="false">
      <c r="A80" s="44" t="s">
        <v>222</v>
      </c>
      <c r="B80" s="45" t="n">
        <v>46007</v>
      </c>
      <c r="C80" s="46" t="s">
        <v>182</v>
      </c>
      <c r="D80" s="46" t="s">
        <v>109</v>
      </c>
      <c r="E80" s="7" t="str">
        <f aca="false">IF(C80="","",IFERROR(INDEX(cl_Regiao,MATCH(C80,cl_Nome,0)),""))</f>
        <v>Sudeste</v>
      </c>
      <c r="F80" s="46" t="s">
        <v>122</v>
      </c>
      <c r="G80" s="46" t="s">
        <v>111</v>
      </c>
      <c r="H80" s="47" t="n">
        <v>7200</v>
      </c>
      <c r="I80" s="48" t="n">
        <f aca="false">IF(G80="","",IFERROR(INDEX(pr_Prob,MATCH(G80,pr_Etapa,0)),0))</f>
        <v>0</v>
      </c>
      <c r="J80" s="49" t="n">
        <f aca="false">IF(H80="","",H80*I80)</f>
        <v>0</v>
      </c>
      <c r="K80" s="45"/>
      <c r="L80" s="45" t="n">
        <v>46080</v>
      </c>
      <c r="M80" s="50" t="str">
        <f aca="false">IF(G80="","",IF(G80="Fechado ganho","Ganha",IF(G80="Fechado perdido","Perdida","Aberta")))</f>
        <v>Perdida</v>
      </c>
      <c r="N80" s="51" t="n">
        <f aca="false">IF(B80="","",IF(M80="Aberta",DataRef-B80,IF(L80="","",L80-B80)))</f>
        <v>73</v>
      </c>
      <c r="O80" s="50" t="str">
        <f aca="false">IF(M80&lt;&gt;"Aberta","",IF(AND(K80&lt;&gt;"",K80&lt;DataRef),"Previsão vencida",IF(N80&gt;DiasParada,"Parada","")))</f>
        <v/>
      </c>
    </row>
    <row r="81" customFormat="false" ht="15" hidden="false" customHeight="false" outlineLevel="0" collapsed="false">
      <c r="A81" s="44" t="s">
        <v>223</v>
      </c>
      <c r="B81" s="45" t="n">
        <v>46007</v>
      </c>
      <c r="C81" s="46" t="s">
        <v>175</v>
      </c>
      <c r="D81" s="46" t="s">
        <v>114</v>
      </c>
      <c r="E81" s="7" t="str">
        <f aca="false">IF(C81="","",IFERROR(INDEX(cl_Regiao,MATCH(C81,cl_Nome,0)),""))</f>
        <v>Norte</v>
      </c>
      <c r="F81" s="46" t="s">
        <v>110</v>
      </c>
      <c r="G81" s="46" t="s">
        <v>224</v>
      </c>
      <c r="H81" s="47" t="n">
        <v>15200</v>
      </c>
      <c r="I81" s="48" t="n">
        <f aca="false">IF(G81="","",IFERROR(INDEX(pr_Prob,MATCH(G81,pr_Etapa,0)),0))</f>
        <v>0.25</v>
      </c>
      <c r="J81" s="49" t="n">
        <f aca="false">IF(H81="","",H81*I81)</f>
        <v>3800</v>
      </c>
      <c r="K81" s="45" t="n">
        <v>46060</v>
      </c>
      <c r="L81" s="45"/>
      <c r="M81" s="50" t="str">
        <f aca="false">IF(G81="","",IF(G81="Fechado ganho","Ganha",IF(G81="Fechado perdido","Perdida","Aberta")))</f>
        <v>Aberta</v>
      </c>
      <c r="N81" s="51" t="n">
        <f aca="false">IF(B81="","",IF(M81="Aberta",DataRef-B81,IF(L81="","",L81-B81)))</f>
        <v>301</v>
      </c>
      <c r="O81" s="50" t="str">
        <f aca="false">IF(M81&lt;&gt;"Aberta","",IF(AND(K81&lt;&gt;"",K81&lt;DataRef),"Previsão vencida",IF(N81&gt;DiasParada,"Parada","")))</f>
        <v>Previsão vencida</v>
      </c>
    </row>
    <row r="82" customFormat="false" ht="15" hidden="false" customHeight="false" outlineLevel="0" collapsed="false">
      <c r="A82" s="44" t="s">
        <v>225</v>
      </c>
      <c r="B82" s="45" t="n">
        <v>46008</v>
      </c>
      <c r="C82" s="46" t="s">
        <v>155</v>
      </c>
      <c r="D82" s="46" t="s">
        <v>127</v>
      </c>
      <c r="E82" s="7" t="str">
        <f aca="false">IF(C82="","",IFERROR(INDEX(cl_Regiao,MATCH(C82,cl_Nome,0)),""))</f>
        <v>Sul</v>
      </c>
      <c r="F82" s="46" t="s">
        <v>110</v>
      </c>
      <c r="G82" s="46" t="s">
        <v>111</v>
      </c>
      <c r="H82" s="47" t="n">
        <v>7700</v>
      </c>
      <c r="I82" s="48" t="n">
        <f aca="false">IF(G82="","",IFERROR(INDEX(pr_Prob,MATCH(G82,pr_Etapa,0)),0))</f>
        <v>0</v>
      </c>
      <c r="J82" s="49" t="n">
        <f aca="false">IF(H82="","",H82*I82)</f>
        <v>0</v>
      </c>
      <c r="K82" s="45"/>
      <c r="L82" s="45" t="n">
        <v>46049</v>
      </c>
      <c r="M82" s="50" t="str">
        <f aca="false">IF(G82="","",IF(G82="Fechado ganho","Ganha",IF(G82="Fechado perdido","Perdida","Aberta")))</f>
        <v>Perdida</v>
      </c>
      <c r="N82" s="51" t="n">
        <f aca="false">IF(B82="","",IF(M82="Aberta",DataRef-B82,IF(L82="","",L82-B82)))</f>
        <v>41</v>
      </c>
      <c r="O82" s="50" t="str">
        <f aca="false">IF(M82&lt;&gt;"Aberta","",IF(AND(K82&lt;&gt;"",K82&lt;DataRef),"Previsão vencida",IF(N82&gt;DiasParada,"Parada","")))</f>
        <v/>
      </c>
    </row>
    <row r="83" customFormat="false" ht="15" hidden="false" customHeight="false" outlineLevel="0" collapsed="false">
      <c r="A83" s="44" t="s">
        <v>226</v>
      </c>
      <c r="B83" s="45" t="n">
        <v>46008</v>
      </c>
      <c r="C83" s="46" t="s">
        <v>168</v>
      </c>
      <c r="D83" s="46" t="s">
        <v>127</v>
      </c>
      <c r="E83" s="7" t="str">
        <f aca="false">IF(C83="","",IFERROR(INDEX(cl_Regiao,MATCH(C83,cl_Nome,0)),""))</f>
        <v>Sul</v>
      </c>
      <c r="F83" s="46" t="s">
        <v>122</v>
      </c>
      <c r="G83" s="46" t="s">
        <v>111</v>
      </c>
      <c r="H83" s="47" t="n">
        <v>4700</v>
      </c>
      <c r="I83" s="48" t="n">
        <f aca="false">IF(G83="","",IFERROR(INDEX(pr_Prob,MATCH(G83,pr_Etapa,0)),0))</f>
        <v>0</v>
      </c>
      <c r="J83" s="49" t="n">
        <f aca="false">IF(H83="","",H83*I83)</f>
        <v>0</v>
      </c>
      <c r="K83" s="45"/>
      <c r="L83" s="45" t="n">
        <v>46033</v>
      </c>
      <c r="M83" s="50" t="str">
        <f aca="false">IF(G83="","",IF(G83="Fechado ganho","Ganha",IF(G83="Fechado perdido","Perdida","Aberta")))</f>
        <v>Perdida</v>
      </c>
      <c r="N83" s="51" t="n">
        <f aca="false">IF(B83="","",IF(M83="Aberta",DataRef-B83,IF(L83="","",L83-B83)))</f>
        <v>25</v>
      </c>
      <c r="O83" s="50" t="str">
        <f aca="false">IF(M83&lt;&gt;"Aberta","",IF(AND(K83&lt;&gt;"",K83&lt;DataRef),"Previsão vencida",IF(N83&gt;DiasParada,"Parada","")))</f>
        <v/>
      </c>
    </row>
    <row r="84" customFormat="false" ht="15" hidden="false" customHeight="false" outlineLevel="0" collapsed="false">
      <c r="A84" s="44" t="s">
        <v>227</v>
      </c>
      <c r="B84" s="45" t="n">
        <v>46010</v>
      </c>
      <c r="C84" s="46" t="s">
        <v>135</v>
      </c>
      <c r="D84" s="46" t="s">
        <v>119</v>
      </c>
      <c r="E84" s="7" t="str">
        <f aca="false">IF(C84="","",IFERROR(INDEX(cl_Regiao,MATCH(C84,cl_Nome,0)),""))</f>
        <v>Sudeste</v>
      </c>
      <c r="F84" s="46" t="s">
        <v>122</v>
      </c>
      <c r="G84" s="46" t="s">
        <v>116</v>
      </c>
      <c r="H84" s="47" t="n">
        <v>11200</v>
      </c>
      <c r="I84" s="48" t="n">
        <f aca="false">IF(G84="","",IFERROR(INDEX(pr_Prob,MATCH(G84,pr_Etapa,0)),0))</f>
        <v>1</v>
      </c>
      <c r="J84" s="49" t="n">
        <f aca="false">IF(H84="","",H84*I84)</f>
        <v>11200</v>
      </c>
      <c r="K84" s="45"/>
      <c r="L84" s="45" t="n">
        <v>46043</v>
      </c>
      <c r="M84" s="50" t="str">
        <f aca="false">IF(G84="","",IF(G84="Fechado ganho","Ganha",IF(G84="Fechado perdido","Perdida","Aberta")))</f>
        <v>Ganha</v>
      </c>
      <c r="N84" s="51" t="n">
        <f aca="false">IF(B84="","",IF(M84="Aberta",DataRef-B84,IF(L84="","",L84-B84)))</f>
        <v>33</v>
      </c>
      <c r="O84" s="50" t="str">
        <f aca="false">IF(M84&lt;&gt;"Aberta","",IF(AND(K84&lt;&gt;"",K84&lt;DataRef),"Previsão vencida",IF(N84&gt;DiasParada,"Parada","")))</f>
        <v/>
      </c>
    </row>
    <row r="85" customFormat="false" ht="15" hidden="false" customHeight="false" outlineLevel="0" collapsed="false">
      <c r="A85" s="44" t="s">
        <v>228</v>
      </c>
      <c r="B85" s="45" t="n">
        <v>46011</v>
      </c>
      <c r="C85" s="46" t="s">
        <v>118</v>
      </c>
      <c r="D85" s="46" t="s">
        <v>119</v>
      </c>
      <c r="E85" s="7" t="str">
        <f aca="false">IF(C85="","",IFERROR(INDEX(cl_Regiao,MATCH(C85,cl_Nome,0)),""))</f>
        <v>Sudeste</v>
      </c>
      <c r="F85" s="46" t="s">
        <v>110</v>
      </c>
      <c r="G85" s="46" t="s">
        <v>111</v>
      </c>
      <c r="H85" s="47" t="n">
        <v>8600</v>
      </c>
      <c r="I85" s="48" t="n">
        <f aca="false">IF(G85="","",IFERROR(INDEX(pr_Prob,MATCH(G85,pr_Etapa,0)),0))</f>
        <v>0</v>
      </c>
      <c r="J85" s="49" t="n">
        <f aca="false">IF(H85="","",H85*I85)</f>
        <v>0</v>
      </c>
      <c r="K85" s="45"/>
      <c r="L85" s="45" t="n">
        <v>46038</v>
      </c>
      <c r="M85" s="50" t="str">
        <f aca="false">IF(G85="","",IF(G85="Fechado ganho","Ganha",IF(G85="Fechado perdido","Perdida","Aberta")))</f>
        <v>Perdida</v>
      </c>
      <c r="N85" s="51" t="n">
        <f aca="false">IF(B85="","",IF(M85="Aberta",DataRef-B85,IF(L85="","",L85-B85)))</f>
        <v>27</v>
      </c>
      <c r="O85" s="50" t="str">
        <f aca="false">IF(M85&lt;&gt;"Aberta","",IF(AND(K85&lt;&gt;"",K85&lt;DataRef),"Previsão vencida",IF(N85&gt;DiasParada,"Parada","")))</f>
        <v/>
      </c>
    </row>
    <row r="86" customFormat="false" ht="15" hidden="false" customHeight="false" outlineLevel="0" collapsed="false">
      <c r="A86" s="44" t="s">
        <v>229</v>
      </c>
      <c r="B86" s="45" t="n">
        <v>46012</v>
      </c>
      <c r="C86" s="46" t="s">
        <v>141</v>
      </c>
      <c r="D86" s="46" t="s">
        <v>109</v>
      </c>
      <c r="E86" s="7" t="str">
        <f aca="false">IF(C86="","",IFERROR(INDEX(cl_Regiao,MATCH(C86,cl_Nome,0)),""))</f>
        <v>Sudeste</v>
      </c>
      <c r="F86" s="46" t="s">
        <v>110</v>
      </c>
      <c r="G86" s="46" t="s">
        <v>111</v>
      </c>
      <c r="H86" s="47" t="n">
        <v>4000</v>
      </c>
      <c r="I86" s="48" t="n">
        <f aca="false">IF(G86="","",IFERROR(INDEX(pr_Prob,MATCH(G86,pr_Etapa,0)),0))</f>
        <v>0</v>
      </c>
      <c r="J86" s="49" t="n">
        <f aca="false">IF(H86="","",H86*I86)</f>
        <v>0</v>
      </c>
      <c r="K86" s="45"/>
      <c r="L86" s="45" t="n">
        <v>46038</v>
      </c>
      <c r="M86" s="50" t="str">
        <f aca="false">IF(G86="","",IF(G86="Fechado ganho","Ganha",IF(G86="Fechado perdido","Perdida","Aberta")))</f>
        <v>Perdida</v>
      </c>
      <c r="N86" s="51" t="n">
        <f aca="false">IF(B86="","",IF(M86="Aberta",DataRef-B86,IF(L86="","",L86-B86)))</f>
        <v>26</v>
      </c>
      <c r="O86" s="50" t="str">
        <f aca="false">IF(M86&lt;&gt;"Aberta","",IF(AND(K86&lt;&gt;"",K86&lt;DataRef),"Previsão vencida",IF(N86&gt;DiasParada,"Parada","")))</f>
        <v/>
      </c>
    </row>
    <row r="87" customFormat="false" ht="15" hidden="false" customHeight="false" outlineLevel="0" collapsed="false">
      <c r="A87" s="44" t="s">
        <v>230</v>
      </c>
      <c r="B87" s="45" t="n">
        <v>46015</v>
      </c>
      <c r="C87" s="46" t="s">
        <v>192</v>
      </c>
      <c r="D87" s="46" t="s">
        <v>119</v>
      </c>
      <c r="E87" s="7" t="str">
        <f aca="false">IF(C87="","",IFERROR(INDEX(cl_Regiao,MATCH(C87,cl_Nome,0)),""))</f>
        <v>Sudeste</v>
      </c>
      <c r="F87" s="46" t="s">
        <v>110</v>
      </c>
      <c r="G87" s="46" t="s">
        <v>111</v>
      </c>
      <c r="H87" s="47" t="n">
        <v>9800</v>
      </c>
      <c r="I87" s="48" t="n">
        <f aca="false">IF(G87="","",IFERROR(INDEX(pr_Prob,MATCH(G87,pr_Etapa,0)),0))</f>
        <v>0</v>
      </c>
      <c r="J87" s="49" t="n">
        <f aca="false">IF(H87="","",H87*I87)</f>
        <v>0</v>
      </c>
      <c r="K87" s="45"/>
      <c r="L87" s="45" t="n">
        <v>46032</v>
      </c>
      <c r="M87" s="50" t="str">
        <f aca="false">IF(G87="","",IF(G87="Fechado ganho","Ganha",IF(G87="Fechado perdido","Perdida","Aberta")))</f>
        <v>Perdida</v>
      </c>
      <c r="N87" s="51" t="n">
        <f aca="false">IF(B87="","",IF(M87="Aberta",DataRef-B87,IF(L87="","",L87-B87)))</f>
        <v>17</v>
      </c>
      <c r="O87" s="50" t="str">
        <f aca="false">IF(M87&lt;&gt;"Aberta","",IF(AND(K87&lt;&gt;"",K87&lt;DataRef),"Previsão vencida",IF(N87&gt;DiasParada,"Parada","")))</f>
        <v/>
      </c>
    </row>
    <row r="88" customFormat="false" ht="15" hidden="false" customHeight="false" outlineLevel="0" collapsed="false">
      <c r="A88" s="44" t="s">
        <v>231</v>
      </c>
      <c r="B88" s="45" t="n">
        <v>46016</v>
      </c>
      <c r="C88" s="46" t="s">
        <v>207</v>
      </c>
      <c r="D88" s="46" t="s">
        <v>165</v>
      </c>
      <c r="E88" s="7" t="str">
        <f aca="false">IF(C88="","",IFERROR(INDEX(cl_Regiao,MATCH(C88,cl_Nome,0)),""))</f>
        <v>Nordeste</v>
      </c>
      <c r="F88" s="46" t="s">
        <v>115</v>
      </c>
      <c r="G88" s="46" t="s">
        <v>111</v>
      </c>
      <c r="H88" s="47" t="n">
        <v>64900</v>
      </c>
      <c r="I88" s="48" t="n">
        <f aca="false">IF(G88="","",IFERROR(INDEX(pr_Prob,MATCH(G88,pr_Etapa,0)),0))</f>
        <v>0</v>
      </c>
      <c r="J88" s="49" t="n">
        <f aca="false">IF(H88="","",H88*I88)</f>
        <v>0</v>
      </c>
      <c r="K88" s="45"/>
      <c r="L88" s="45" t="n">
        <v>46078</v>
      </c>
      <c r="M88" s="50" t="str">
        <f aca="false">IF(G88="","",IF(G88="Fechado ganho","Ganha",IF(G88="Fechado perdido","Perdida","Aberta")))</f>
        <v>Perdida</v>
      </c>
      <c r="N88" s="51" t="n">
        <f aca="false">IF(B88="","",IF(M88="Aberta",DataRef-B88,IF(L88="","",L88-B88)))</f>
        <v>62</v>
      </c>
      <c r="O88" s="50" t="str">
        <f aca="false">IF(M88&lt;&gt;"Aberta","",IF(AND(K88&lt;&gt;"",K88&lt;DataRef),"Previsão vencida",IF(N88&gt;DiasParada,"Parada","")))</f>
        <v/>
      </c>
    </row>
    <row r="89" customFormat="false" ht="15" hidden="false" customHeight="false" outlineLevel="0" collapsed="false">
      <c r="A89" s="44" t="s">
        <v>232</v>
      </c>
      <c r="B89" s="45" t="n">
        <v>46017</v>
      </c>
      <c r="C89" s="46" t="s">
        <v>108</v>
      </c>
      <c r="D89" s="46" t="s">
        <v>109</v>
      </c>
      <c r="E89" s="7" t="str">
        <f aca="false">IF(C89="","",IFERROR(INDEX(cl_Regiao,MATCH(C89,cl_Nome,0)),""))</f>
        <v>Sudeste</v>
      </c>
      <c r="F89" s="46" t="s">
        <v>122</v>
      </c>
      <c r="G89" s="46" t="s">
        <v>111</v>
      </c>
      <c r="H89" s="47" t="n">
        <v>11300</v>
      </c>
      <c r="I89" s="48" t="n">
        <f aca="false">IF(G89="","",IFERROR(INDEX(pr_Prob,MATCH(G89,pr_Etapa,0)),0))</f>
        <v>0</v>
      </c>
      <c r="J89" s="49" t="n">
        <f aca="false">IF(H89="","",H89*I89)</f>
        <v>0</v>
      </c>
      <c r="K89" s="45"/>
      <c r="L89" s="45" t="n">
        <v>46066</v>
      </c>
      <c r="M89" s="50" t="str">
        <f aca="false">IF(G89="","",IF(G89="Fechado ganho","Ganha",IF(G89="Fechado perdido","Perdida","Aberta")))</f>
        <v>Perdida</v>
      </c>
      <c r="N89" s="51" t="n">
        <f aca="false">IF(B89="","",IF(M89="Aberta",DataRef-B89,IF(L89="","",L89-B89)))</f>
        <v>49</v>
      </c>
      <c r="O89" s="50" t="str">
        <f aca="false">IF(M89&lt;&gt;"Aberta","",IF(AND(K89&lt;&gt;"",K89&lt;DataRef),"Previsão vencida",IF(N89&gt;DiasParada,"Parada","")))</f>
        <v/>
      </c>
    </row>
    <row r="90" customFormat="false" ht="15" hidden="false" customHeight="false" outlineLevel="0" collapsed="false">
      <c r="A90" s="44" t="s">
        <v>233</v>
      </c>
      <c r="B90" s="45" t="n">
        <v>46017</v>
      </c>
      <c r="C90" s="46" t="s">
        <v>164</v>
      </c>
      <c r="D90" s="46" t="s">
        <v>165</v>
      </c>
      <c r="E90" s="7" t="str">
        <f aca="false">IF(C90="","",IFERROR(INDEX(cl_Regiao,MATCH(C90,cl_Nome,0)),""))</f>
        <v>Nordeste</v>
      </c>
      <c r="F90" s="46" t="s">
        <v>110</v>
      </c>
      <c r="G90" s="46" t="s">
        <v>116</v>
      </c>
      <c r="H90" s="47" t="n">
        <v>7000</v>
      </c>
      <c r="I90" s="48" t="n">
        <f aca="false">IF(G90="","",IFERROR(INDEX(pr_Prob,MATCH(G90,pr_Etapa,0)),0))</f>
        <v>1</v>
      </c>
      <c r="J90" s="49" t="n">
        <f aca="false">IF(H90="","",H90*I90)</f>
        <v>7000</v>
      </c>
      <c r="K90" s="45"/>
      <c r="L90" s="45" t="n">
        <v>46033</v>
      </c>
      <c r="M90" s="50" t="str">
        <f aca="false">IF(G90="","",IF(G90="Fechado ganho","Ganha",IF(G90="Fechado perdido","Perdida","Aberta")))</f>
        <v>Ganha</v>
      </c>
      <c r="N90" s="51" t="n">
        <f aca="false">IF(B90="","",IF(M90="Aberta",DataRef-B90,IF(L90="","",L90-B90)))</f>
        <v>16</v>
      </c>
      <c r="O90" s="50" t="str">
        <f aca="false">IF(M90&lt;&gt;"Aberta","",IF(AND(K90&lt;&gt;"",K90&lt;DataRef),"Previsão vencida",IF(N90&gt;DiasParada,"Parada","")))</f>
        <v/>
      </c>
    </row>
    <row r="91" customFormat="false" ht="15" hidden="false" customHeight="false" outlineLevel="0" collapsed="false">
      <c r="A91" s="44" t="s">
        <v>234</v>
      </c>
      <c r="B91" s="45" t="n">
        <v>46018</v>
      </c>
      <c r="C91" s="46" t="s">
        <v>130</v>
      </c>
      <c r="D91" s="46" t="s">
        <v>131</v>
      </c>
      <c r="E91" s="7" t="str">
        <f aca="false">IF(C91="","",IFERROR(INDEX(cl_Regiao,MATCH(C91,cl_Nome,0)),""))</f>
        <v>Centro-Oeste</v>
      </c>
      <c r="F91" s="46" t="s">
        <v>110</v>
      </c>
      <c r="G91" s="46" t="s">
        <v>116</v>
      </c>
      <c r="H91" s="47" t="n">
        <v>7300</v>
      </c>
      <c r="I91" s="48" t="n">
        <f aca="false">IF(G91="","",IFERROR(INDEX(pr_Prob,MATCH(G91,pr_Etapa,0)),0))</f>
        <v>1</v>
      </c>
      <c r="J91" s="49" t="n">
        <f aca="false">IF(H91="","",H91*I91)</f>
        <v>7300</v>
      </c>
      <c r="K91" s="45"/>
      <c r="L91" s="45" t="n">
        <v>46031</v>
      </c>
      <c r="M91" s="50" t="str">
        <f aca="false">IF(G91="","",IF(G91="Fechado ganho","Ganha",IF(G91="Fechado perdido","Perdida","Aberta")))</f>
        <v>Ganha</v>
      </c>
      <c r="N91" s="51" t="n">
        <f aca="false">IF(B91="","",IF(M91="Aberta",DataRef-B91,IF(L91="","",L91-B91)))</f>
        <v>13</v>
      </c>
      <c r="O91" s="50" t="str">
        <f aca="false">IF(M91&lt;&gt;"Aberta","",IF(AND(K91&lt;&gt;"",K91&lt;DataRef),"Previsão vencida",IF(N91&gt;DiasParada,"Parada","")))</f>
        <v/>
      </c>
    </row>
    <row r="92" customFormat="false" ht="15" hidden="false" customHeight="false" outlineLevel="0" collapsed="false">
      <c r="A92" s="44" t="s">
        <v>235</v>
      </c>
      <c r="B92" s="45" t="n">
        <v>46018</v>
      </c>
      <c r="C92" s="46" t="s">
        <v>236</v>
      </c>
      <c r="D92" s="46" t="s">
        <v>165</v>
      </c>
      <c r="E92" s="7" t="str">
        <f aca="false">IF(C92="","",IFERROR(INDEX(cl_Regiao,MATCH(C92,cl_Nome,0)),""))</f>
        <v>Nordeste</v>
      </c>
      <c r="F92" s="46" t="s">
        <v>115</v>
      </c>
      <c r="G92" s="46" t="s">
        <v>111</v>
      </c>
      <c r="H92" s="47" t="n">
        <v>94500</v>
      </c>
      <c r="I92" s="48" t="n">
        <f aca="false">IF(G92="","",IFERROR(INDEX(pr_Prob,MATCH(G92,pr_Etapa,0)),0))</f>
        <v>0</v>
      </c>
      <c r="J92" s="49" t="n">
        <f aca="false">IF(H92="","",H92*I92)</f>
        <v>0</v>
      </c>
      <c r="K92" s="45"/>
      <c r="L92" s="45" t="n">
        <v>46051</v>
      </c>
      <c r="M92" s="50" t="str">
        <f aca="false">IF(G92="","",IF(G92="Fechado ganho","Ganha",IF(G92="Fechado perdido","Perdida","Aberta")))</f>
        <v>Perdida</v>
      </c>
      <c r="N92" s="51" t="n">
        <f aca="false">IF(B92="","",IF(M92="Aberta",DataRef-B92,IF(L92="","",L92-B92)))</f>
        <v>33</v>
      </c>
      <c r="O92" s="50" t="str">
        <f aca="false">IF(M92&lt;&gt;"Aberta","",IF(AND(K92&lt;&gt;"",K92&lt;DataRef),"Previsão vencida",IF(N92&gt;DiasParada,"Parada","")))</f>
        <v/>
      </c>
    </row>
    <row r="93" customFormat="false" ht="15" hidden="false" customHeight="false" outlineLevel="0" collapsed="false">
      <c r="A93" s="44" t="s">
        <v>237</v>
      </c>
      <c r="B93" s="45" t="n">
        <v>46019</v>
      </c>
      <c r="C93" s="46" t="s">
        <v>168</v>
      </c>
      <c r="D93" s="46" t="s">
        <v>127</v>
      </c>
      <c r="E93" s="7" t="str">
        <f aca="false">IF(C93="","",IFERROR(INDEX(cl_Regiao,MATCH(C93,cl_Nome,0)),""))</f>
        <v>Sul</v>
      </c>
      <c r="F93" s="46" t="s">
        <v>115</v>
      </c>
      <c r="G93" s="46" t="s">
        <v>111</v>
      </c>
      <c r="H93" s="47" t="n">
        <v>48700</v>
      </c>
      <c r="I93" s="48" t="n">
        <f aca="false">IF(G93="","",IFERROR(INDEX(pr_Prob,MATCH(G93,pr_Etapa,0)),0))</f>
        <v>0</v>
      </c>
      <c r="J93" s="49" t="n">
        <f aca="false">IF(H93="","",H93*I93)</f>
        <v>0</v>
      </c>
      <c r="K93" s="45"/>
      <c r="L93" s="45" t="n">
        <v>46088</v>
      </c>
      <c r="M93" s="50" t="str">
        <f aca="false">IF(G93="","",IF(G93="Fechado ganho","Ganha",IF(G93="Fechado perdido","Perdida","Aberta")))</f>
        <v>Perdida</v>
      </c>
      <c r="N93" s="51" t="n">
        <f aca="false">IF(B93="","",IF(M93="Aberta",DataRef-B93,IF(L93="","",L93-B93)))</f>
        <v>69</v>
      </c>
      <c r="O93" s="50" t="str">
        <f aca="false">IF(M93&lt;&gt;"Aberta","",IF(AND(K93&lt;&gt;"",K93&lt;DataRef),"Previsão vencida",IF(N93&gt;DiasParada,"Parada","")))</f>
        <v/>
      </c>
    </row>
    <row r="94" customFormat="false" ht="15" hidden="false" customHeight="false" outlineLevel="0" collapsed="false">
      <c r="A94" s="44" t="s">
        <v>238</v>
      </c>
      <c r="B94" s="45" t="n">
        <v>46020</v>
      </c>
      <c r="C94" s="46" t="s">
        <v>113</v>
      </c>
      <c r="D94" s="46" t="s">
        <v>114</v>
      </c>
      <c r="E94" s="7" t="str">
        <f aca="false">IF(C94="","",IFERROR(INDEX(cl_Regiao,MATCH(C94,cl_Nome,0)),""))</f>
        <v>Norte</v>
      </c>
      <c r="F94" s="46" t="s">
        <v>122</v>
      </c>
      <c r="G94" s="46" t="s">
        <v>111</v>
      </c>
      <c r="H94" s="47" t="n">
        <v>11200</v>
      </c>
      <c r="I94" s="48" t="n">
        <f aca="false">IF(G94="","",IFERROR(INDEX(pr_Prob,MATCH(G94,pr_Etapa,0)),0))</f>
        <v>0</v>
      </c>
      <c r="J94" s="49" t="n">
        <f aca="false">IF(H94="","",H94*I94)</f>
        <v>0</v>
      </c>
      <c r="K94" s="45"/>
      <c r="L94" s="45" t="n">
        <v>46045</v>
      </c>
      <c r="M94" s="50" t="str">
        <f aca="false">IF(G94="","",IF(G94="Fechado ganho","Ganha",IF(G94="Fechado perdido","Perdida","Aberta")))</f>
        <v>Perdida</v>
      </c>
      <c r="N94" s="51" t="n">
        <f aca="false">IF(B94="","",IF(M94="Aberta",DataRef-B94,IF(L94="","",L94-B94)))</f>
        <v>25</v>
      </c>
      <c r="O94" s="50" t="str">
        <f aca="false">IF(M94&lt;&gt;"Aberta","",IF(AND(K94&lt;&gt;"",K94&lt;DataRef),"Previsão vencida",IF(N94&gt;DiasParada,"Parada","")))</f>
        <v/>
      </c>
    </row>
    <row r="95" customFormat="false" ht="15" hidden="false" customHeight="false" outlineLevel="0" collapsed="false">
      <c r="A95" s="44" t="s">
        <v>239</v>
      </c>
      <c r="B95" s="45" t="n">
        <v>46022</v>
      </c>
      <c r="C95" s="46" t="s">
        <v>171</v>
      </c>
      <c r="D95" s="46" t="s">
        <v>165</v>
      </c>
      <c r="E95" s="7" t="str">
        <f aca="false">IF(C95="","",IFERROR(INDEX(cl_Regiao,MATCH(C95,cl_Nome,0)),""))</f>
        <v>Nordeste</v>
      </c>
      <c r="F95" s="46" t="s">
        <v>110</v>
      </c>
      <c r="G95" s="46" t="s">
        <v>111</v>
      </c>
      <c r="H95" s="47" t="n">
        <v>8500</v>
      </c>
      <c r="I95" s="48" t="n">
        <f aca="false">IF(G95="","",IFERROR(INDEX(pr_Prob,MATCH(G95,pr_Etapa,0)),0))</f>
        <v>0</v>
      </c>
      <c r="J95" s="49" t="n">
        <f aca="false">IF(H95="","",H95*I95)</f>
        <v>0</v>
      </c>
      <c r="K95" s="45"/>
      <c r="L95" s="45" t="n">
        <v>46077</v>
      </c>
      <c r="M95" s="50" t="str">
        <f aca="false">IF(G95="","",IF(G95="Fechado ganho","Ganha",IF(G95="Fechado perdido","Perdida","Aberta")))</f>
        <v>Perdida</v>
      </c>
      <c r="N95" s="51" t="n">
        <f aca="false">IF(B95="","",IF(M95="Aberta",DataRef-B95,IF(L95="","",L95-B95)))</f>
        <v>55</v>
      </c>
      <c r="O95" s="50" t="str">
        <f aca="false">IF(M95&lt;&gt;"Aberta","",IF(AND(K95&lt;&gt;"",K95&lt;DataRef),"Previsão vencida",IF(N95&gt;DiasParada,"Parada","")))</f>
        <v/>
      </c>
    </row>
    <row r="96" customFormat="false" ht="15" hidden="false" customHeight="false" outlineLevel="0" collapsed="false">
      <c r="A96" s="44" t="s">
        <v>240</v>
      </c>
      <c r="B96" s="45" t="n">
        <v>46022</v>
      </c>
      <c r="C96" s="46" t="s">
        <v>171</v>
      </c>
      <c r="D96" s="46" t="s">
        <v>165</v>
      </c>
      <c r="E96" s="7" t="str">
        <f aca="false">IF(C96="","",IFERROR(INDEX(cl_Regiao,MATCH(C96,cl_Nome,0)),""))</f>
        <v>Nordeste</v>
      </c>
      <c r="F96" s="46" t="s">
        <v>115</v>
      </c>
      <c r="G96" s="46" t="s">
        <v>116</v>
      </c>
      <c r="H96" s="47" t="n">
        <v>54400</v>
      </c>
      <c r="I96" s="48" t="n">
        <f aca="false">IF(G96="","",IFERROR(INDEX(pr_Prob,MATCH(G96,pr_Etapa,0)),0))</f>
        <v>1</v>
      </c>
      <c r="J96" s="49" t="n">
        <f aca="false">IF(H96="","",H96*I96)</f>
        <v>54400</v>
      </c>
      <c r="K96" s="45"/>
      <c r="L96" s="45" t="n">
        <v>46058</v>
      </c>
      <c r="M96" s="50" t="str">
        <f aca="false">IF(G96="","",IF(G96="Fechado ganho","Ganha",IF(G96="Fechado perdido","Perdida","Aberta")))</f>
        <v>Ganha</v>
      </c>
      <c r="N96" s="51" t="n">
        <f aca="false">IF(B96="","",IF(M96="Aberta",DataRef-B96,IF(L96="","",L96-B96)))</f>
        <v>36</v>
      </c>
      <c r="O96" s="50" t="str">
        <f aca="false">IF(M96&lt;&gt;"Aberta","",IF(AND(K96&lt;&gt;"",K96&lt;DataRef),"Previsão vencida",IF(N96&gt;DiasParada,"Parada","")))</f>
        <v/>
      </c>
    </row>
    <row r="97" customFormat="false" ht="15" hidden="false" customHeight="false" outlineLevel="0" collapsed="false">
      <c r="A97" s="44" t="s">
        <v>241</v>
      </c>
      <c r="B97" s="45" t="n">
        <v>46026</v>
      </c>
      <c r="C97" s="46" t="s">
        <v>236</v>
      </c>
      <c r="D97" s="46" t="s">
        <v>165</v>
      </c>
      <c r="E97" s="7" t="str">
        <f aca="false">IF(C97="","",IFERROR(INDEX(cl_Regiao,MATCH(C97,cl_Nome,0)),""))</f>
        <v>Nordeste</v>
      </c>
      <c r="F97" s="46" t="s">
        <v>128</v>
      </c>
      <c r="G97" s="46" t="s">
        <v>116</v>
      </c>
      <c r="H97" s="47" t="n">
        <v>20700</v>
      </c>
      <c r="I97" s="48" t="n">
        <f aca="false">IF(G97="","",IFERROR(INDEX(pr_Prob,MATCH(G97,pr_Etapa,0)),0))</f>
        <v>1</v>
      </c>
      <c r="J97" s="49" t="n">
        <f aca="false">IF(H97="","",H97*I97)</f>
        <v>20700</v>
      </c>
      <c r="K97" s="45"/>
      <c r="L97" s="45" t="n">
        <v>46091</v>
      </c>
      <c r="M97" s="50" t="str">
        <f aca="false">IF(G97="","",IF(G97="Fechado ganho","Ganha",IF(G97="Fechado perdido","Perdida","Aberta")))</f>
        <v>Ganha</v>
      </c>
      <c r="N97" s="51" t="n">
        <f aca="false">IF(B97="","",IF(M97="Aberta",DataRef-B97,IF(L97="","",L97-B97)))</f>
        <v>65</v>
      </c>
      <c r="O97" s="50" t="str">
        <f aca="false">IF(M97&lt;&gt;"Aberta","",IF(AND(K97&lt;&gt;"",K97&lt;DataRef),"Previsão vencida",IF(N97&gt;DiasParada,"Parada","")))</f>
        <v/>
      </c>
    </row>
    <row r="98" customFormat="false" ht="15" hidden="false" customHeight="false" outlineLevel="0" collapsed="false">
      <c r="A98" s="44" t="s">
        <v>242</v>
      </c>
      <c r="B98" s="45" t="n">
        <v>46027</v>
      </c>
      <c r="C98" s="46" t="s">
        <v>192</v>
      </c>
      <c r="D98" s="46" t="s">
        <v>119</v>
      </c>
      <c r="E98" s="7" t="str">
        <f aca="false">IF(C98="","",IFERROR(INDEX(cl_Regiao,MATCH(C98,cl_Nome,0)),""))</f>
        <v>Sudeste</v>
      </c>
      <c r="F98" s="46" t="s">
        <v>110</v>
      </c>
      <c r="G98" s="46" t="s">
        <v>116</v>
      </c>
      <c r="H98" s="47" t="n">
        <v>4700</v>
      </c>
      <c r="I98" s="48" t="n">
        <f aca="false">IF(G98="","",IFERROR(INDEX(pr_Prob,MATCH(G98,pr_Etapa,0)),0))</f>
        <v>1</v>
      </c>
      <c r="J98" s="49" t="n">
        <f aca="false">IF(H98="","",H98*I98)</f>
        <v>4700</v>
      </c>
      <c r="K98" s="45"/>
      <c r="L98" s="45" t="n">
        <v>46073</v>
      </c>
      <c r="M98" s="50" t="str">
        <f aca="false">IF(G98="","",IF(G98="Fechado ganho","Ganha",IF(G98="Fechado perdido","Perdida","Aberta")))</f>
        <v>Ganha</v>
      </c>
      <c r="N98" s="51" t="n">
        <f aca="false">IF(B98="","",IF(M98="Aberta",DataRef-B98,IF(L98="","",L98-B98)))</f>
        <v>46</v>
      </c>
      <c r="O98" s="50" t="str">
        <f aca="false">IF(M98&lt;&gt;"Aberta","",IF(AND(K98&lt;&gt;"",K98&lt;DataRef),"Previsão vencida",IF(N98&gt;DiasParada,"Parada","")))</f>
        <v/>
      </c>
    </row>
    <row r="99" customFormat="false" ht="15" hidden="false" customHeight="false" outlineLevel="0" collapsed="false">
      <c r="A99" s="44" t="s">
        <v>243</v>
      </c>
      <c r="B99" s="45" t="n">
        <v>46027</v>
      </c>
      <c r="C99" s="46" t="s">
        <v>148</v>
      </c>
      <c r="D99" s="46" t="s">
        <v>109</v>
      </c>
      <c r="E99" s="7" t="str">
        <f aca="false">IF(C99="","",IFERROR(INDEX(cl_Regiao,MATCH(C99,cl_Nome,0)),""))</f>
        <v>Sudeste</v>
      </c>
      <c r="F99" s="46" t="s">
        <v>110</v>
      </c>
      <c r="G99" s="46" t="s">
        <v>111</v>
      </c>
      <c r="H99" s="47" t="n">
        <v>21500</v>
      </c>
      <c r="I99" s="48" t="n">
        <f aca="false">IF(G99="","",IFERROR(INDEX(pr_Prob,MATCH(G99,pr_Etapa,0)),0))</f>
        <v>0</v>
      </c>
      <c r="J99" s="49" t="n">
        <f aca="false">IF(H99="","",H99*I99)</f>
        <v>0</v>
      </c>
      <c r="K99" s="45"/>
      <c r="L99" s="45" t="n">
        <v>46039</v>
      </c>
      <c r="M99" s="50" t="str">
        <f aca="false">IF(G99="","",IF(G99="Fechado ganho","Ganha",IF(G99="Fechado perdido","Perdida","Aberta")))</f>
        <v>Perdida</v>
      </c>
      <c r="N99" s="51" t="n">
        <f aca="false">IF(B99="","",IF(M99="Aberta",DataRef-B99,IF(L99="","",L99-B99)))</f>
        <v>12</v>
      </c>
      <c r="O99" s="50" t="str">
        <f aca="false">IF(M99&lt;&gt;"Aberta","",IF(AND(K99&lt;&gt;"",K99&lt;DataRef),"Previsão vencida",IF(N99&gt;DiasParada,"Parada","")))</f>
        <v/>
      </c>
    </row>
    <row r="100" customFormat="false" ht="15" hidden="false" customHeight="false" outlineLevel="0" collapsed="false">
      <c r="A100" s="44" t="s">
        <v>244</v>
      </c>
      <c r="B100" s="45" t="n">
        <v>46028</v>
      </c>
      <c r="C100" s="46" t="s">
        <v>145</v>
      </c>
      <c r="D100" s="46" t="s">
        <v>114</v>
      </c>
      <c r="E100" s="7" t="str">
        <f aca="false">IF(C100="","",IFERROR(INDEX(cl_Regiao,MATCH(C100,cl_Nome,0)),""))</f>
        <v>Norte</v>
      </c>
      <c r="F100" s="46" t="s">
        <v>128</v>
      </c>
      <c r="G100" s="46" t="s">
        <v>111</v>
      </c>
      <c r="H100" s="47" t="n">
        <v>17400</v>
      </c>
      <c r="I100" s="48" t="n">
        <f aca="false">IF(G100="","",IFERROR(INDEX(pr_Prob,MATCH(G100,pr_Etapa,0)),0))</f>
        <v>0</v>
      </c>
      <c r="J100" s="49" t="n">
        <f aca="false">IF(H100="","",H100*I100)</f>
        <v>0</v>
      </c>
      <c r="K100" s="45"/>
      <c r="L100" s="45" t="n">
        <v>46054</v>
      </c>
      <c r="M100" s="50" t="str">
        <f aca="false">IF(G100="","",IF(G100="Fechado ganho","Ganha",IF(G100="Fechado perdido","Perdida","Aberta")))</f>
        <v>Perdida</v>
      </c>
      <c r="N100" s="51" t="n">
        <f aca="false">IF(B100="","",IF(M100="Aberta",DataRef-B100,IF(L100="","",L100-B100)))</f>
        <v>26</v>
      </c>
      <c r="O100" s="50" t="str">
        <f aca="false">IF(M100&lt;&gt;"Aberta","",IF(AND(K100&lt;&gt;"",K100&lt;DataRef),"Previsão vencida",IF(N100&gt;DiasParada,"Parada","")))</f>
        <v/>
      </c>
    </row>
    <row r="101" customFormat="false" ht="15" hidden="false" customHeight="false" outlineLevel="0" collapsed="false">
      <c r="A101" s="44" t="s">
        <v>245</v>
      </c>
      <c r="B101" s="45" t="n">
        <v>46028</v>
      </c>
      <c r="C101" s="46" t="s">
        <v>135</v>
      </c>
      <c r="D101" s="46" t="s">
        <v>119</v>
      </c>
      <c r="E101" s="7" t="str">
        <f aca="false">IF(C101="","",IFERROR(INDEX(cl_Regiao,MATCH(C101,cl_Nome,0)),""))</f>
        <v>Sudeste</v>
      </c>
      <c r="F101" s="46" t="s">
        <v>115</v>
      </c>
      <c r="G101" s="46" t="s">
        <v>116</v>
      </c>
      <c r="H101" s="47" t="n">
        <v>47100</v>
      </c>
      <c r="I101" s="48" t="n">
        <f aca="false">IF(G101="","",IFERROR(INDEX(pr_Prob,MATCH(G101,pr_Etapa,0)),0))</f>
        <v>1</v>
      </c>
      <c r="J101" s="49" t="n">
        <f aca="false">IF(H101="","",H101*I101)</f>
        <v>47100</v>
      </c>
      <c r="K101" s="45"/>
      <c r="L101" s="45" t="n">
        <v>46065</v>
      </c>
      <c r="M101" s="50" t="str">
        <f aca="false">IF(G101="","",IF(G101="Fechado ganho","Ganha",IF(G101="Fechado perdido","Perdida","Aberta")))</f>
        <v>Ganha</v>
      </c>
      <c r="N101" s="51" t="n">
        <f aca="false">IF(B101="","",IF(M101="Aberta",DataRef-B101,IF(L101="","",L101-B101)))</f>
        <v>37</v>
      </c>
      <c r="O101" s="50" t="str">
        <f aca="false">IF(M101&lt;&gt;"Aberta","",IF(AND(K101&lt;&gt;"",K101&lt;DataRef),"Previsão vencida",IF(N101&gt;DiasParada,"Parada","")))</f>
        <v/>
      </c>
    </row>
    <row r="102" customFormat="false" ht="15" hidden="false" customHeight="false" outlineLevel="0" collapsed="false">
      <c r="A102" s="44" t="s">
        <v>246</v>
      </c>
      <c r="B102" s="45" t="n">
        <v>46028</v>
      </c>
      <c r="C102" s="46" t="s">
        <v>153</v>
      </c>
      <c r="D102" s="46" t="s">
        <v>131</v>
      </c>
      <c r="E102" s="7" t="str">
        <f aca="false">IF(C102="","",IFERROR(INDEX(cl_Regiao,MATCH(C102,cl_Nome,0)),""))</f>
        <v>Centro-Oeste</v>
      </c>
      <c r="F102" s="46" t="s">
        <v>115</v>
      </c>
      <c r="G102" s="46" t="s">
        <v>116</v>
      </c>
      <c r="H102" s="47" t="n">
        <v>32000</v>
      </c>
      <c r="I102" s="48" t="n">
        <f aca="false">IF(G102="","",IFERROR(INDEX(pr_Prob,MATCH(G102,pr_Etapa,0)),0))</f>
        <v>1</v>
      </c>
      <c r="J102" s="49" t="n">
        <f aca="false">IF(H102="","",H102*I102)</f>
        <v>32000</v>
      </c>
      <c r="K102" s="45"/>
      <c r="L102" s="45" t="n">
        <v>46102</v>
      </c>
      <c r="M102" s="50" t="str">
        <f aca="false">IF(G102="","",IF(G102="Fechado ganho","Ganha",IF(G102="Fechado perdido","Perdida","Aberta")))</f>
        <v>Ganha</v>
      </c>
      <c r="N102" s="51" t="n">
        <f aca="false">IF(B102="","",IF(M102="Aberta",DataRef-B102,IF(L102="","",L102-B102)))</f>
        <v>74</v>
      </c>
      <c r="O102" s="50" t="str">
        <f aca="false">IF(M102&lt;&gt;"Aberta","",IF(AND(K102&lt;&gt;"",K102&lt;DataRef),"Previsão vencida",IF(N102&gt;DiasParada,"Parada","")))</f>
        <v/>
      </c>
    </row>
    <row r="103" customFormat="false" ht="15" hidden="false" customHeight="false" outlineLevel="0" collapsed="false">
      <c r="A103" s="44" t="s">
        <v>247</v>
      </c>
      <c r="B103" s="45" t="n">
        <v>46031</v>
      </c>
      <c r="C103" s="46" t="s">
        <v>108</v>
      </c>
      <c r="D103" s="46" t="s">
        <v>109</v>
      </c>
      <c r="E103" s="7" t="str">
        <f aca="false">IF(C103="","",IFERROR(INDEX(cl_Regiao,MATCH(C103,cl_Nome,0)),""))</f>
        <v>Sudeste</v>
      </c>
      <c r="F103" s="46" t="s">
        <v>115</v>
      </c>
      <c r="G103" s="46" t="s">
        <v>111</v>
      </c>
      <c r="H103" s="47" t="n">
        <v>23500</v>
      </c>
      <c r="I103" s="48" t="n">
        <f aca="false">IF(G103="","",IFERROR(INDEX(pr_Prob,MATCH(G103,pr_Etapa,0)),0))</f>
        <v>0</v>
      </c>
      <c r="J103" s="49" t="n">
        <f aca="false">IF(H103="","",H103*I103)</f>
        <v>0</v>
      </c>
      <c r="K103" s="45"/>
      <c r="L103" s="45" t="n">
        <v>46055</v>
      </c>
      <c r="M103" s="50" t="str">
        <f aca="false">IF(G103="","",IF(G103="Fechado ganho","Ganha",IF(G103="Fechado perdido","Perdida","Aberta")))</f>
        <v>Perdida</v>
      </c>
      <c r="N103" s="51" t="n">
        <f aca="false">IF(B103="","",IF(M103="Aberta",DataRef-B103,IF(L103="","",L103-B103)))</f>
        <v>24</v>
      </c>
      <c r="O103" s="50" t="str">
        <f aca="false">IF(M103&lt;&gt;"Aberta","",IF(AND(K103&lt;&gt;"",K103&lt;DataRef),"Previsão vencida",IF(N103&gt;DiasParada,"Parada","")))</f>
        <v/>
      </c>
    </row>
    <row r="104" customFormat="false" ht="15" hidden="false" customHeight="false" outlineLevel="0" collapsed="false">
      <c r="A104" s="44" t="s">
        <v>248</v>
      </c>
      <c r="B104" s="45" t="n">
        <v>46031</v>
      </c>
      <c r="C104" s="46" t="s">
        <v>108</v>
      </c>
      <c r="D104" s="46" t="s">
        <v>109</v>
      </c>
      <c r="E104" s="7" t="str">
        <f aca="false">IF(C104="","",IFERROR(INDEX(cl_Regiao,MATCH(C104,cl_Nome,0)),""))</f>
        <v>Sudeste</v>
      </c>
      <c r="F104" s="46" t="s">
        <v>122</v>
      </c>
      <c r="G104" s="46" t="s">
        <v>116</v>
      </c>
      <c r="H104" s="47" t="n">
        <v>13900</v>
      </c>
      <c r="I104" s="48" t="n">
        <f aca="false">IF(G104="","",IFERROR(INDEX(pr_Prob,MATCH(G104,pr_Etapa,0)),0))</f>
        <v>1</v>
      </c>
      <c r="J104" s="49" t="n">
        <f aca="false">IF(H104="","",H104*I104)</f>
        <v>13900</v>
      </c>
      <c r="K104" s="45"/>
      <c r="L104" s="45" t="n">
        <v>46069</v>
      </c>
      <c r="M104" s="50" t="str">
        <f aca="false">IF(G104="","",IF(G104="Fechado ganho","Ganha",IF(G104="Fechado perdido","Perdida","Aberta")))</f>
        <v>Ganha</v>
      </c>
      <c r="N104" s="51" t="n">
        <f aca="false">IF(B104="","",IF(M104="Aberta",DataRef-B104,IF(L104="","",L104-B104)))</f>
        <v>38</v>
      </c>
      <c r="O104" s="50" t="str">
        <f aca="false">IF(M104&lt;&gt;"Aberta","",IF(AND(K104&lt;&gt;"",K104&lt;DataRef),"Previsão vencida",IF(N104&gt;DiasParada,"Parada","")))</f>
        <v/>
      </c>
    </row>
    <row r="105" customFormat="false" ht="15" hidden="false" customHeight="false" outlineLevel="0" collapsed="false">
      <c r="A105" s="44" t="s">
        <v>249</v>
      </c>
      <c r="B105" s="45" t="n">
        <v>46031</v>
      </c>
      <c r="C105" s="46" t="s">
        <v>162</v>
      </c>
      <c r="D105" s="46" t="s">
        <v>131</v>
      </c>
      <c r="E105" s="7" t="str">
        <f aca="false">IF(C105="","",IFERROR(INDEX(cl_Regiao,MATCH(C105,cl_Nome,0)),""))</f>
        <v>Centro-Oeste</v>
      </c>
      <c r="F105" s="46" t="s">
        <v>110</v>
      </c>
      <c r="G105" s="46" t="s">
        <v>116</v>
      </c>
      <c r="H105" s="47" t="n">
        <v>11300</v>
      </c>
      <c r="I105" s="48" t="n">
        <f aca="false">IF(G105="","",IFERROR(INDEX(pr_Prob,MATCH(G105,pr_Etapa,0)),0))</f>
        <v>1</v>
      </c>
      <c r="J105" s="49" t="n">
        <f aca="false">IF(H105="","",H105*I105)</f>
        <v>11300</v>
      </c>
      <c r="K105" s="45"/>
      <c r="L105" s="45" t="n">
        <v>46101</v>
      </c>
      <c r="M105" s="50" t="str">
        <f aca="false">IF(G105="","",IF(G105="Fechado ganho","Ganha",IF(G105="Fechado perdido","Perdida","Aberta")))</f>
        <v>Ganha</v>
      </c>
      <c r="N105" s="51" t="n">
        <f aca="false">IF(B105="","",IF(M105="Aberta",DataRef-B105,IF(L105="","",L105-B105)))</f>
        <v>70</v>
      </c>
      <c r="O105" s="50" t="str">
        <f aca="false">IF(M105&lt;&gt;"Aberta","",IF(AND(K105&lt;&gt;"",K105&lt;DataRef),"Previsão vencida",IF(N105&gt;DiasParada,"Parada","")))</f>
        <v/>
      </c>
    </row>
    <row r="106" customFormat="false" ht="15" hidden="false" customHeight="false" outlineLevel="0" collapsed="false">
      <c r="A106" s="44" t="s">
        <v>250</v>
      </c>
      <c r="B106" s="45" t="n">
        <v>46032</v>
      </c>
      <c r="C106" s="46" t="s">
        <v>201</v>
      </c>
      <c r="D106" s="46" t="s">
        <v>127</v>
      </c>
      <c r="E106" s="7" t="str">
        <f aca="false">IF(C106="","",IFERROR(INDEX(cl_Regiao,MATCH(C106,cl_Nome,0)),""))</f>
        <v>Sul</v>
      </c>
      <c r="F106" s="46" t="s">
        <v>128</v>
      </c>
      <c r="G106" s="46" t="s">
        <v>116</v>
      </c>
      <c r="H106" s="47" t="n">
        <v>21200</v>
      </c>
      <c r="I106" s="48" t="n">
        <f aca="false">IF(G106="","",IFERROR(INDEX(pr_Prob,MATCH(G106,pr_Etapa,0)),0))</f>
        <v>1</v>
      </c>
      <c r="J106" s="49" t="n">
        <f aca="false">IF(H106="","",H106*I106)</f>
        <v>21200</v>
      </c>
      <c r="K106" s="45"/>
      <c r="L106" s="45" t="n">
        <v>46059</v>
      </c>
      <c r="M106" s="50" t="str">
        <f aca="false">IF(G106="","",IF(G106="Fechado ganho","Ganha",IF(G106="Fechado perdido","Perdida","Aberta")))</f>
        <v>Ganha</v>
      </c>
      <c r="N106" s="51" t="n">
        <f aca="false">IF(B106="","",IF(M106="Aberta",DataRef-B106,IF(L106="","",L106-B106)))</f>
        <v>27</v>
      </c>
      <c r="O106" s="50" t="str">
        <f aca="false">IF(M106&lt;&gt;"Aberta","",IF(AND(K106&lt;&gt;"",K106&lt;DataRef),"Previsão vencida",IF(N106&gt;DiasParada,"Parada","")))</f>
        <v/>
      </c>
    </row>
    <row r="107" customFormat="false" ht="15" hidden="false" customHeight="false" outlineLevel="0" collapsed="false">
      <c r="A107" s="44" t="s">
        <v>251</v>
      </c>
      <c r="B107" s="45" t="n">
        <v>46033</v>
      </c>
      <c r="C107" s="46" t="s">
        <v>201</v>
      </c>
      <c r="D107" s="46" t="s">
        <v>127</v>
      </c>
      <c r="E107" s="7" t="str">
        <f aca="false">IF(C107="","",IFERROR(INDEX(cl_Regiao,MATCH(C107,cl_Nome,0)),""))</f>
        <v>Sul</v>
      </c>
      <c r="F107" s="46" t="s">
        <v>115</v>
      </c>
      <c r="G107" s="46" t="s">
        <v>116</v>
      </c>
      <c r="H107" s="47" t="n">
        <v>9200</v>
      </c>
      <c r="I107" s="48" t="n">
        <f aca="false">IF(G107="","",IFERROR(INDEX(pr_Prob,MATCH(G107,pr_Etapa,0)),0))</f>
        <v>1</v>
      </c>
      <c r="J107" s="49" t="n">
        <f aca="false">IF(H107="","",H107*I107)</f>
        <v>9200</v>
      </c>
      <c r="K107" s="45"/>
      <c r="L107" s="45" t="n">
        <v>46070</v>
      </c>
      <c r="M107" s="50" t="str">
        <f aca="false">IF(G107="","",IF(G107="Fechado ganho","Ganha",IF(G107="Fechado perdido","Perdida","Aberta")))</f>
        <v>Ganha</v>
      </c>
      <c r="N107" s="51" t="n">
        <f aca="false">IF(B107="","",IF(M107="Aberta",DataRef-B107,IF(L107="","",L107-B107)))</f>
        <v>37</v>
      </c>
      <c r="O107" s="50" t="str">
        <f aca="false">IF(M107&lt;&gt;"Aberta","",IF(AND(K107&lt;&gt;"",K107&lt;DataRef),"Previsão vencida",IF(N107&gt;DiasParada,"Parada","")))</f>
        <v/>
      </c>
    </row>
    <row r="108" customFormat="false" ht="15" hidden="false" customHeight="false" outlineLevel="0" collapsed="false">
      <c r="A108" s="44" t="s">
        <v>252</v>
      </c>
      <c r="B108" s="45" t="n">
        <v>46033</v>
      </c>
      <c r="C108" s="46" t="s">
        <v>164</v>
      </c>
      <c r="D108" s="46" t="s">
        <v>165</v>
      </c>
      <c r="E108" s="7" t="str">
        <f aca="false">IF(C108="","",IFERROR(INDEX(cl_Regiao,MATCH(C108,cl_Nome,0)),""))</f>
        <v>Nordeste</v>
      </c>
      <c r="F108" s="46" t="s">
        <v>128</v>
      </c>
      <c r="G108" s="46" t="s">
        <v>111</v>
      </c>
      <c r="H108" s="47" t="n">
        <v>49200</v>
      </c>
      <c r="I108" s="48" t="n">
        <f aca="false">IF(G108="","",IFERROR(INDEX(pr_Prob,MATCH(G108,pr_Etapa,0)),0))</f>
        <v>0</v>
      </c>
      <c r="J108" s="49" t="n">
        <f aca="false">IF(H108="","",H108*I108)</f>
        <v>0</v>
      </c>
      <c r="K108" s="45"/>
      <c r="L108" s="45" t="n">
        <v>46105</v>
      </c>
      <c r="M108" s="50" t="str">
        <f aca="false">IF(G108="","",IF(G108="Fechado ganho","Ganha",IF(G108="Fechado perdido","Perdida","Aberta")))</f>
        <v>Perdida</v>
      </c>
      <c r="N108" s="51" t="n">
        <f aca="false">IF(B108="","",IF(M108="Aberta",DataRef-B108,IF(L108="","",L108-B108)))</f>
        <v>72</v>
      </c>
      <c r="O108" s="50" t="str">
        <f aca="false">IF(M108&lt;&gt;"Aberta","",IF(AND(K108&lt;&gt;"",K108&lt;DataRef),"Previsão vencida",IF(N108&gt;DiasParada,"Parada","")))</f>
        <v/>
      </c>
    </row>
    <row r="109" customFormat="false" ht="15" hidden="false" customHeight="false" outlineLevel="0" collapsed="false">
      <c r="A109" s="44" t="s">
        <v>253</v>
      </c>
      <c r="B109" s="45" t="n">
        <v>46033</v>
      </c>
      <c r="C109" s="46" t="s">
        <v>164</v>
      </c>
      <c r="D109" s="46" t="s">
        <v>165</v>
      </c>
      <c r="E109" s="7" t="str">
        <f aca="false">IF(C109="","",IFERROR(INDEX(cl_Regiao,MATCH(C109,cl_Nome,0)),""))</f>
        <v>Nordeste</v>
      </c>
      <c r="F109" s="46" t="s">
        <v>115</v>
      </c>
      <c r="G109" s="46" t="s">
        <v>116</v>
      </c>
      <c r="H109" s="47" t="n">
        <v>84800</v>
      </c>
      <c r="I109" s="48" t="n">
        <f aca="false">IF(G109="","",IFERROR(INDEX(pr_Prob,MATCH(G109,pr_Etapa,0)),0))</f>
        <v>1</v>
      </c>
      <c r="J109" s="49" t="n">
        <f aca="false">IF(H109="","",H109*I109)</f>
        <v>84800</v>
      </c>
      <c r="K109" s="45"/>
      <c r="L109" s="45" t="n">
        <v>46066</v>
      </c>
      <c r="M109" s="50" t="str">
        <f aca="false">IF(G109="","",IF(G109="Fechado ganho","Ganha",IF(G109="Fechado perdido","Perdida","Aberta")))</f>
        <v>Ganha</v>
      </c>
      <c r="N109" s="51" t="n">
        <f aca="false">IF(B109="","",IF(M109="Aberta",DataRef-B109,IF(L109="","",L109-B109)))</f>
        <v>33</v>
      </c>
      <c r="O109" s="50" t="str">
        <f aca="false">IF(M109&lt;&gt;"Aberta","",IF(AND(K109&lt;&gt;"",K109&lt;DataRef),"Previsão vencida",IF(N109&gt;DiasParada,"Parada","")))</f>
        <v/>
      </c>
    </row>
    <row r="110" customFormat="false" ht="15" hidden="false" customHeight="false" outlineLevel="0" collapsed="false">
      <c r="A110" s="44" t="s">
        <v>254</v>
      </c>
      <c r="B110" s="45" t="n">
        <v>46033</v>
      </c>
      <c r="C110" s="46" t="s">
        <v>180</v>
      </c>
      <c r="D110" s="46" t="s">
        <v>127</v>
      </c>
      <c r="E110" s="7" t="str">
        <f aca="false">IF(C110="","",IFERROR(INDEX(cl_Regiao,MATCH(C110,cl_Nome,0)),""))</f>
        <v>Sul</v>
      </c>
      <c r="F110" s="46" t="s">
        <v>110</v>
      </c>
      <c r="G110" s="46" t="s">
        <v>116</v>
      </c>
      <c r="H110" s="47" t="n">
        <v>21300</v>
      </c>
      <c r="I110" s="48" t="n">
        <f aca="false">IF(G110="","",IFERROR(INDEX(pr_Prob,MATCH(G110,pr_Etapa,0)),0))</f>
        <v>1</v>
      </c>
      <c r="J110" s="49" t="n">
        <f aca="false">IF(H110="","",H110*I110)</f>
        <v>21300</v>
      </c>
      <c r="K110" s="45"/>
      <c r="L110" s="45" t="n">
        <v>46072</v>
      </c>
      <c r="M110" s="50" t="str">
        <f aca="false">IF(G110="","",IF(G110="Fechado ganho","Ganha",IF(G110="Fechado perdido","Perdida","Aberta")))</f>
        <v>Ganha</v>
      </c>
      <c r="N110" s="51" t="n">
        <f aca="false">IF(B110="","",IF(M110="Aberta",DataRef-B110,IF(L110="","",L110-B110)))</f>
        <v>39</v>
      </c>
      <c r="O110" s="50" t="str">
        <f aca="false">IF(M110&lt;&gt;"Aberta","",IF(AND(K110&lt;&gt;"",K110&lt;DataRef),"Previsão vencida",IF(N110&gt;DiasParada,"Parada","")))</f>
        <v/>
      </c>
    </row>
    <row r="111" customFormat="false" ht="15" hidden="false" customHeight="false" outlineLevel="0" collapsed="false">
      <c r="A111" s="44" t="s">
        <v>255</v>
      </c>
      <c r="B111" s="45" t="n">
        <v>46033</v>
      </c>
      <c r="C111" s="46" t="s">
        <v>141</v>
      </c>
      <c r="D111" s="46" t="s">
        <v>109</v>
      </c>
      <c r="E111" s="7" t="str">
        <f aca="false">IF(C111="","",IFERROR(INDEX(cl_Regiao,MATCH(C111,cl_Nome,0)),""))</f>
        <v>Sudeste</v>
      </c>
      <c r="F111" s="46" t="s">
        <v>128</v>
      </c>
      <c r="G111" s="46" t="s">
        <v>111</v>
      </c>
      <c r="H111" s="47" t="n">
        <v>45000</v>
      </c>
      <c r="I111" s="48" t="n">
        <f aca="false">IF(G111="","",IFERROR(INDEX(pr_Prob,MATCH(G111,pr_Etapa,0)),0))</f>
        <v>0</v>
      </c>
      <c r="J111" s="49" t="n">
        <f aca="false">IF(H111="","",H111*I111)</f>
        <v>0</v>
      </c>
      <c r="K111" s="45"/>
      <c r="L111" s="45" t="n">
        <v>46108</v>
      </c>
      <c r="M111" s="50" t="str">
        <f aca="false">IF(G111="","",IF(G111="Fechado ganho","Ganha",IF(G111="Fechado perdido","Perdida","Aberta")))</f>
        <v>Perdida</v>
      </c>
      <c r="N111" s="51" t="n">
        <f aca="false">IF(B111="","",IF(M111="Aberta",DataRef-B111,IF(L111="","",L111-B111)))</f>
        <v>75</v>
      </c>
      <c r="O111" s="50" t="str">
        <f aca="false">IF(M111&lt;&gt;"Aberta","",IF(AND(K111&lt;&gt;"",K111&lt;DataRef),"Previsão vencida",IF(N111&gt;DiasParada,"Parada","")))</f>
        <v/>
      </c>
    </row>
    <row r="112" customFormat="false" ht="15" hidden="false" customHeight="false" outlineLevel="0" collapsed="false">
      <c r="A112" s="44" t="s">
        <v>256</v>
      </c>
      <c r="B112" s="45" t="n">
        <v>46036</v>
      </c>
      <c r="C112" s="46" t="s">
        <v>145</v>
      </c>
      <c r="D112" s="46" t="s">
        <v>114</v>
      </c>
      <c r="E112" s="7" t="str">
        <f aca="false">IF(C112="","",IFERROR(INDEX(cl_Regiao,MATCH(C112,cl_Nome,0)),""))</f>
        <v>Norte</v>
      </c>
      <c r="F112" s="46" t="s">
        <v>110</v>
      </c>
      <c r="G112" s="46" t="s">
        <v>111</v>
      </c>
      <c r="H112" s="47" t="n">
        <v>3700</v>
      </c>
      <c r="I112" s="48" t="n">
        <f aca="false">IF(G112="","",IFERROR(INDEX(pr_Prob,MATCH(G112,pr_Etapa,0)),0))</f>
        <v>0</v>
      </c>
      <c r="J112" s="49" t="n">
        <f aca="false">IF(H112="","",H112*I112)</f>
        <v>0</v>
      </c>
      <c r="K112" s="45"/>
      <c r="L112" s="45" t="n">
        <v>46077</v>
      </c>
      <c r="M112" s="50" t="str">
        <f aca="false">IF(G112="","",IF(G112="Fechado ganho","Ganha",IF(G112="Fechado perdido","Perdida","Aberta")))</f>
        <v>Perdida</v>
      </c>
      <c r="N112" s="51" t="n">
        <f aca="false">IF(B112="","",IF(M112="Aberta",DataRef-B112,IF(L112="","",L112-B112)))</f>
        <v>41</v>
      </c>
      <c r="O112" s="50" t="str">
        <f aca="false">IF(M112&lt;&gt;"Aberta","",IF(AND(K112&lt;&gt;"",K112&lt;DataRef),"Previsão vencida",IF(N112&gt;DiasParada,"Parada","")))</f>
        <v/>
      </c>
    </row>
    <row r="113" customFormat="false" ht="15" hidden="false" customHeight="false" outlineLevel="0" collapsed="false">
      <c r="A113" s="44" t="s">
        <v>257</v>
      </c>
      <c r="B113" s="45" t="n">
        <v>46036</v>
      </c>
      <c r="C113" s="46" t="s">
        <v>158</v>
      </c>
      <c r="D113" s="46" t="s">
        <v>131</v>
      </c>
      <c r="E113" s="7" t="str">
        <f aca="false">IF(C113="","",IFERROR(INDEX(cl_Regiao,MATCH(C113,cl_Nome,0)),""))</f>
        <v>Centro-Oeste</v>
      </c>
      <c r="F113" s="46" t="s">
        <v>128</v>
      </c>
      <c r="G113" s="46" t="s">
        <v>116</v>
      </c>
      <c r="H113" s="47" t="n">
        <v>28300</v>
      </c>
      <c r="I113" s="48" t="n">
        <f aca="false">IF(G113="","",IFERROR(INDEX(pr_Prob,MATCH(G113,pr_Etapa,0)),0))</f>
        <v>1</v>
      </c>
      <c r="J113" s="49" t="n">
        <f aca="false">IF(H113="","",H113*I113)</f>
        <v>28300</v>
      </c>
      <c r="K113" s="45"/>
      <c r="L113" s="45" t="n">
        <v>46094</v>
      </c>
      <c r="M113" s="50" t="str">
        <f aca="false">IF(G113="","",IF(G113="Fechado ganho","Ganha",IF(G113="Fechado perdido","Perdida","Aberta")))</f>
        <v>Ganha</v>
      </c>
      <c r="N113" s="51" t="n">
        <f aca="false">IF(B113="","",IF(M113="Aberta",DataRef-B113,IF(L113="","",L113-B113)))</f>
        <v>58</v>
      </c>
      <c r="O113" s="50" t="str">
        <f aca="false">IF(M113&lt;&gt;"Aberta","",IF(AND(K113&lt;&gt;"",K113&lt;DataRef),"Previsão vencida",IF(N113&gt;DiasParada,"Parada","")))</f>
        <v/>
      </c>
    </row>
    <row r="114" customFormat="false" ht="15" hidden="false" customHeight="false" outlineLevel="0" collapsed="false">
      <c r="A114" s="44" t="s">
        <v>258</v>
      </c>
      <c r="B114" s="45" t="n">
        <v>46039</v>
      </c>
      <c r="C114" s="46" t="s">
        <v>182</v>
      </c>
      <c r="D114" s="46" t="s">
        <v>109</v>
      </c>
      <c r="E114" s="7" t="str">
        <f aca="false">IF(C114="","",IFERROR(INDEX(cl_Regiao,MATCH(C114,cl_Nome,0)),""))</f>
        <v>Sudeste</v>
      </c>
      <c r="F114" s="46" t="s">
        <v>122</v>
      </c>
      <c r="G114" s="46" t="s">
        <v>111</v>
      </c>
      <c r="H114" s="47" t="n">
        <v>12500</v>
      </c>
      <c r="I114" s="48" t="n">
        <f aca="false">IF(G114="","",IFERROR(INDEX(pr_Prob,MATCH(G114,pr_Etapa,0)),0))</f>
        <v>0</v>
      </c>
      <c r="J114" s="49" t="n">
        <f aca="false">IF(H114="","",H114*I114)</f>
        <v>0</v>
      </c>
      <c r="K114" s="45"/>
      <c r="L114" s="45" t="n">
        <v>46068</v>
      </c>
      <c r="M114" s="50" t="str">
        <f aca="false">IF(G114="","",IF(G114="Fechado ganho","Ganha",IF(G114="Fechado perdido","Perdida","Aberta")))</f>
        <v>Perdida</v>
      </c>
      <c r="N114" s="51" t="n">
        <f aca="false">IF(B114="","",IF(M114="Aberta",DataRef-B114,IF(L114="","",L114-B114)))</f>
        <v>29</v>
      </c>
      <c r="O114" s="50" t="str">
        <f aca="false">IF(M114&lt;&gt;"Aberta","",IF(AND(K114&lt;&gt;"",K114&lt;DataRef),"Previsão vencida",IF(N114&gt;DiasParada,"Parada","")))</f>
        <v/>
      </c>
    </row>
    <row r="115" customFormat="false" ht="15" hidden="false" customHeight="false" outlineLevel="0" collapsed="false">
      <c r="A115" s="44" t="s">
        <v>259</v>
      </c>
      <c r="B115" s="45" t="n">
        <v>46041</v>
      </c>
      <c r="C115" s="46" t="s">
        <v>130</v>
      </c>
      <c r="D115" s="46" t="s">
        <v>131</v>
      </c>
      <c r="E115" s="7" t="str">
        <f aca="false">IF(C115="","",IFERROR(INDEX(cl_Regiao,MATCH(C115,cl_Nome,0)),""))</f>
        <v>Centro-Oeste</v>
      </c>
      <c r="F115" s="46" t="s">
        <v>115</v>
      </c>
      <c r="G115" s="46" t="s">
        <v>111</v>
      </c>
      <c r="H115" s="47" t="n">
        <v>30700</v>
      </c>
      <c r="I115" s="48" t="n">
        <f aca="false">IF(G115="","",IFERROR(INDEX(pr_Prob,MATCH(G115,pr_Etapa,0)),0))</f>
        <v>0</v>
      </c>
      <c r="J115" s="49" t="n">
        <f aca="false">IF(H115="","",H115*I115)</f>
        <v>0</v>
      </c>
      <c r="K115" s="45"/>
      <c r="L115" s="45" t="n">
        <v>46079</v>
      </c>
      <c r="M115" s="50" t="str">
        <f aca="false">IF(G115="","",IF(G115="Fechado ganho","Ganha",IF(G115="Fechado perdido","Perdida","Aberta")))</f>
        <v>Perdida</v>
      </c>
      <c r="N115" s="51" t="n">
        <f aca="false">IF(B115="","",IF(M115="Aberta",DataRef-B115,IF(L115="","",L115-B115)))</f>
        <v>38</v>
      </c>
      <c r="O115" s="50" t="str">
        <f aca="false">IF(M115&lt;&gt;"Aberta","",IF(AND(K115&lt;&gt;"",K115&lt;DataRef),"Previsão vencida",IF(N115&gt;DiasParada,"Parada","")))</f>
        <v/>
      </c>
    </row>
    <row r="116" customFormat="false" ht="15" hidden="false" customHeight="false" outlineLevel="0" collapsed="false">
      <c r="A116" s="44" t="s">
        <v>260</v>
      </c>
      <c r="B116" s="45" t="n">
        <v>46044</v>
      </c>
      <c r="C116" s="46" t="s">
        <v>162</v>
      </c>
      <c r="D116" s="46" t="s">
        <v>131</v>
      </c>
      <c r="E116" s="7" t="str">
        <f aca="false">IF(C116="","",IFERROR(INDEX(cl_Regiao,MATCH(C116,cl_Nome,0)),""))</f>
        <v>Centro-Oeste</v>
      </c>
      <c r="F116" s="46" t="s">
        <v>115</v>
      </c>
      <c r="G116" s="46" t="s">
        <v>116</v>
      </c>
      <c r="H116" s="47" t="n">
        <v>48300</v>
      </c>
      <c r="I116" s="48" t="n">
        <f aca="false">IF(G116="","",IFERROR(INDEX(pr_Prob,MATCH(G116,pr_Etapa,0)),0))</f>
        <v>1</v>
      </c>
      <c r="J116" s="49" t="n">
        <f aca="false">IF(H116="","",H116*I116)</f>
        <v>48300</v>
      </c>
      <c r="K116" s="45"/>
      <c r="L116" s="45" t="n">
        <v>46096</v>
      </c>
      <c r="M116" s="50" t="str">
        <f aca="false">IF(G116="","",IF(G116="Fechado ganho","Ganha",IF(G116="Fechado perdido","Perdida","Aberta")))</f>
        <v>Ganha</v>
      </c>
      <c r="N116" s="51" t="n">
        <f aca="false">IF(B116="","",IF(M116="Aberta",DataRef-B116,IF(L116="","",L116-B116)))</f>
        <v>52</v>
      </c>
      <c r="O116" s="50" t="str">
        <f aca="false">IF(M116&lt;&gt;"Aberta","",IF(AND(K116&lt;&gt;"",K116&lt;DataRef),"Previsão vencida",IF(N116&gt;DiasParada,"Parada","")))</f>
        <v/>
      </c>
    </row>
    <row r="117" customFormat="false" ht="15" hidden="false" customHeight="false" outlineLevel="0" collapsed="false">
      <c r="A117" s="44" t="s">
        <v>261</v>
      </c>
      <c r="B117" s="45" t="n">
        <v>46046</v>
      </c>
      <c r="C117" s="46" t="s">
        <v>113</v>
      </c>
      <c r="D117" s="46" t="s">
        <v>114</v>
      </c>
      <c r="E117" s="7" t="str">
        <f aca="false">IF(C117="","",IFERROR(INDEX(cl_Regiao,MATCH(C117,cl_Nome,0)),""))</f>
        <v>Norte</v>
      </c>
      <c r="F117" s="46" t="s">
        <v>115</v>
      </c>
      <c r="G117" s="46" t="s">
        <v>116</v>
      </c>
      <c r="H117" s="47" t="n">
        <v>12500</v>
      </c>
      <c r="I117" s="48" t="n">
        <f aca="false">IF(G117="","",IFERROR(INDEX(pr_Prob,MATCH(G117,pr_Etapa,0)),0))</f>
        <v>1</v>
      </c>
      <c r="J117" s="49" t="n">
        <f aca="false">IF(H117="","",H117*I117)</f>
        <v>12500</v>
      </c>
      <c r="K117" s="45"/>
      <c r="L117" s="45" t="n">
        <v>46075</v>
      </c>
      <c r="M117" s="50" t="str">
        <f aca="false">IF(G117="","",IF(G117="Fechado ganho","Ganha",IF(G117="Fechado perdido","Perdida","Aberta")))</f>
        <v>Ganha</v>
      </c>
      <c r="N117" s="51" t="n">
        <f aca="false">IF(B117="","",IF(M117="Aberta",DataRef-B117,IF(L117="","",L117-B117)))</f>
        <v>29</v>
      </c>
      <c r="O117" s="50" t="str">
        <f aca="false">IF(M117&lt;&gt;"Aberta","",IF(AND(K117&lt;&gt;"",K117&lt;DataRef),"Previsão vencida",IF(N117&gt;DiasParada,"Parada","")))</f>
        <v/>
      </c>
    </row>
    <row r="118" customFormat="false" ht="15" hidden="false" customHeight="false" outlineLevel="0" collapsed="false">
      <c r="A118" s="44" t="s">
        <v>262</v>
      </c>
      <c r="B118" s="45" t="n">
        <v>46046</v>
      </c>
      <c r="C118" s="46" t="s">
        <v>155</v>
      </c>
      <c r="D118" s="46" t="s">
        <v>127</v>
      </c>
      <c r="E118" s="7" t="str">
        <f aca="false">IF(C118="","",IFERROR(INDEX(cl_Regiao,MATCH(C118,cl_Nome,0)),""))</f>
        <v>Sul</v>
      </c>
      <c r="F118" s="46" t="s">
        <v>110</v>
      </c>
      <c r="G118" s="46" t="s">
        <v>111</v>
      </c>
      <c r="H118" s="47" t="n">
        <v>11900</v>
      </c>
      <c r="I118" s="48" t="n">
        <f aca="false">IF(G118="","",IFERROR(INDEX(pr_Prob,MATCH(G118,pr_Etapa,0)),0))</f>
        <v>0</v>
      </c>
      <c r="J118" s="49" t="n">
        <f aca="false">IF(H118="","",H118*I118)</f>
        <v>0</v>
      </c>
      <c r="K118" s="45"/>
      <c r="L118" s="45" t="n">
        <v>46063</v>
      </c>
      <c r="M118" s="50" t="str">
        <f aca="false">IF(G118="","",IF(G118="Fechado ganho","Ganha",IF(G118="Fechado perdido","Perdida","Aberta")))</f>
        <v>Perdida</v>
      </c>
      <c r="N118" s="51" t="n">
        <f aca="false">IF(B118="","",IF(M118="Aberta",DataRef-B118,IF(L118="","",L118-B118)))</f>
        <v>17</v>
      </c>
      <c r="O118" s="50" t="str">
        <f aca="false">IF(M118&lt;&gt;"Aberta","",IF(AND(K118&lt;&gt;"",K118&lt;DataRef),"Previsão vencida",IF(N118&gt;DiasParada,"Parada","")))</f>
        <v/>
      </c>
    </row>
    <row r="119" customFormat="false" ht="15" hidden="false" customHeight="false" outlineLevel="0" collapsed="false">
      <c r="A119" s="44" t="s">
        <v>263</v>
      </c>
      <c r="B119" s="45" t="n">
        <v>46046</v>
      </c>
      <c r="C119" s="46" t="s">
        <v>133</v>
      </c>
      <c r="D119" s="46" t="s">
        <v>119</v>
      </c>
      <c r="E119" s="7" t="str">
        <f aca="false">IF(C119="","",IFERROR(INDEX(cl_Regiao,MATCH(C119,cl_Nome,0)),""))</f>
        <v>Sudeste</v>
      </c>
      <c r="F119" s="46" t="s">
        <v>122</v>
      </c>
      <c r="G119" s="46" t="s">
        <v>116</v>
      </c>
      <c r="H119" s="47" t="n">
        <v>18200</v>
      </c>
      <c r="I119" s="48" t="n">
        <f aca="false">IF(G119="","",IFERROR(INDEX(pr_Prob,MATCH(G119,pr_Etapa,0)),0))</f>
        <v>1</v>
      </c>
      <c r="J119" s="49" t="n">
        <f aca="false">IF(H119="","",H119*I119)</f>
        <v>18200</v>
      </c>
      <c r="K119" s="45"/>
      <c r="L119" s="45" t="n">
        <v>46087</v>
      </c>
      <c r="M119" s="50" t="str">
        <f aca="false">IF(G119="","",IF(G119="Fechado ganho","Ganha",IF(G119="Fechado perdido","Perdida","Aberta")))</f>
        <v>Ganha</v>
      </c>
      <c r="N119" s="51" t="n">
        <f aca="false">IF(B119="","",IF(M119="Aberta",DataRef-B119,IF(L119="","",L119-B119)))</f>
        <v>41</v>
      </c>
      <c r="O119" s="50" t="str">
        <f aca="false">IF(M119&lt;&gt;"Aberta","",IF(AND(K119&lt;&gt;"",K119&lt;DataRef),"Previsão vencida",IF(N119&gt;DiasParada,"Parada","")))</f>
        <v/>
      </c>
    </row>
    <row r="120" customFormat="false" ht="15" hidden="false" customHeight="false" outlineLevel="0" collapsed="false">
      <c r="A120" s="44" t="s">
        <v>264</v>
      </c>
      <c r="B120" s="45" t="n">
        <v>46046</v>
      </c>
      <c r="C120" s="46" t="s">
        <v>141</v>
      </c>
      <c r="D120" s="46" t="s">
        <v>109</v>
      </c>
      <c r="E120" s="7" t="str">
        <f aca="false">IF(C120="","",IFERROR(INDEX(cl_Regiao,MATCH(C120,cl_Nome,0)),""))</f>
        <v>Sudeste</v>
      </c>
      <c r="F120" s="46" t="s">
        <v>128</v>
      </c>
      <c r="G120" s="46" t="s">
        <v>111</v>
      </c>
      <c r="H120" s="47" t="n">
        <v>12800</v>
      </c>
      <c r="I120" s="48" t="n">
        <f aca="false">IF(G120="","",IFERROR(INDEX(pr_Prob,MATCH(G120,pr_Etapa,0)),0))</f>
        <v>0</v>
      </c>
      <c r="J120" s="49" t="n">
        <f aca="false">IF(H120="","",H120*I120)</f>
        <v>0</v>
      </c>
      <c r="K120" s="45"/>
      <c r="L120" s="45" t="n">
        <v>46084</v>
      </c>
      <c r="M120" s="50" t="str">
        <f aca="false">IF(G120="","",IF(G120="Fechado ganho","Ganha",IF(G120="Fechado perdido","Perdida","Aberta")))</f>
        <v>Perdida</v>
      </c>
      <c r="N120" s="51" t="n">
        <f aca="false">IF(B120="","",IF(M120="Aberta",DataRef-B120,IF(L120="","",L120-B120)))</f>
        <v>38</v>
      </c>
      <c r="O120" s="50" t="str">
        <f aca="false">IF(M120&lt;&gt;"Aberta","",IF(AND(K120&lt;&gt;"",K120&lt;DataRef),"Previsão vencida",IF(N120&gt;DiasParada,"Parada","")))</f>
        <v/>
      </c>
    </row>
    <row r="121" customFormat="false" ht="15" hidden="false" customHeight="false" outlineLevel="0" collapsed="false">
      <c r="A121" s="44" t="s">
        <v>265</v>
      </c>
      <c r="B121" s="45" t="n">
        <v>46048</v>
      </c>
      <c r="C121" s="46" t="s">
        <v>182</v>
      </c>
      <c r="D121" s="46" t="s">
        <v>109</v>
      </c>
      <c r="E121" s="7" t="str">
        <f aca="false">IF(C121="","",IFERROR(INDEX(cl_Regiao,MATCH(C121,cl_Nome,0)),""))</f>
        <v>Sudeste</v>
      </c>
      <c r="F121" s="46" t="s">
        <v>122</v>
      </c>
      <c r="G121" s="46" t="s">
        <v>116</v>
      </c>
      <c r="H121" s="47" t="n">
        <v>2500</v>
      </c>
      <c r="I121" s="48" t="n">
        <f aca="false">IF(G121="","",IFERROR(INDEX(pr_Prob,MATCH(G121,pr_Etapa,0)),0))</f>
        <v>1</v>
      </c>
      <c r="J121" s="49" t="n">
        <f aca="false">IF(H121="","",H121*I121)</f>
        <v>2500</v>
      </c>
      <c r="K121" s="45"/>
      <c r="L121" s="45" t="n">
        <v>46109</v>
      </c>
      <c r="M121" s="50" t="str">
        <f aca="false">IF(G121="","",IF(G121="Fechado ganho","Ganha",IF(G121="Fechado perdido","Perdida","Aberta")))</f>
        <v>Ganha</v>
      </c>
      <c r="N121" s="51" t="n">
        <f aca="false">IF(B121="","",IF(M121="Aberta",DataRef-B121,IF(L121="","",L121-B121)))</f>
        <v>61</v>
      </c>
      <c r="O121" s="50" t="str">
        <f aca="false">IF(M121&lt;&gt;"Aberta","",IF(AND(K121&lt;&gt;"",K121&lt;DataRef),"Previsão vencida",IF(N121&gt;DiasParada,"Parada","")))</f>
        <v/>
      </c>
    </row>
    <row r="122" customFormat="false" ht="15" hidden="false" customHeight="false" outlineLevel="0" collapsed="false">
      <c r="A122" s="44" t="s">
        <v>266</v>
      </c>
      <c r="B122" s="45" t="n">
        <v>46048</v>
      </c>
      <c r="C122" s="46" t="s">
        <v>121</v>
      </c>
      <c r="D122" s="46" t="s">
        <v>119</v>
      </c>
      <c r="E122" s="7" t="str">
        <f aca="false">IF(C122="","",IFERROR(INDEX(cl_Regiao,MATCH(C122,cl_Nome,0)),""))</f>
        <v>Sudeste</v>
      </c>
      <c r="F122" s="46" t="s">
        <v>122</v>
      </c>
      <c r="G122" s="46" t="s">
        <v>116</v>
      </c>
      <c r="H122" s="47" t="n">
        <v>10200</v>
      </c>
      <c r="I122" s="48" t="n">
        <f aca="false">IF(G122="","",IFERROR(INDEX(pr_Prob,MATCH(G122,pr_Etapa,0)),0))</f>
        <v>1</v>
      </c>
      <c r="J122" s="49" t="n">
        <f aca="false">IF(H122="","",H122*I122)</f>
        <v>10200</v>
      </c>
      <c r="K122" s="45"/>
      <c r="L122" s="45" t="n">
        <v>46126</v>
      </c>
      <c r="M122" s="50" t="str">
        <f aca="false">IF(G122="","",IF(G122="Fechado ganho","Ganha",IF(G122="Fechado perdido","Perdida","Aberta")))</f>
        <v>Ganha</v>
      </c>
      <c r="N122" s="51" t="n">
        <f aca="false">IF(B122="","",IF(M122="Aberta",DataRef-B122,IF(L122="","",L122-B122)))</f>
        <v>78</v>
      </c>
      <c r="O122" s="50" t="str">
        <f aca="false">IF(M122&lt;&gt;"Aberta","",IF(AND(K122&lt;&gt;"",K122&lt;DataRef),"Previsão vencida",IF(N122&gt;DiasParada,"Parada","")))</f>
        <v/>
      </c>
    </row>
    <row r="123" customFormat="false" ht="15" hidden="false" customHeight="false" outlineLevel="0" collapsed="false">
      <c r="A123" s="44" t="s">
        <v>267</v>
      </c>
      <c r="B123" s="45" t="n">
        <v>46049</v>
      </c>
      <c r="C123" s="46" t="s">
        <v>180</v>
      </c>
      <c r="D123" s="46" t="s">
        <v>127</v>
      </c>
      <c r="E123" s="7" t="str">
        <f aca="false">IF(C123="","",IFERROR(INDEX(cl_Regiao,MATCH(C123,cl_Nome,0)),""))</f>
        <v>Sul</v>
      </c>
      <c r="F123" s="46" t="s">
        <v>122</v>
      </c>
      <c r="G123" s="46" t="s">
        <v>111</v>
      </c>
      <c r="H123" s="47" t="n">
        <v>19500</v>
      </c>
      <c r="I123" s="48" t="n">
        <f aca="false">IF(G123="","",IFERROR(INDEX(pr_Prob,MATCH(G123,pr_Etapa,0)),0))</f>
        <v>0</v>
      </c>
      <c r="J123" s="49" t="n">
        <f aca="false">IF(H123="","",H123*I123)</f>
        <v>0</v>
      </c>
      <c r="K123" s="45"/>
      <c r="L123" s="45" t="n">
        <v>46101</v>
      </c>
      <c r="M123" s="50" t="str">
        <f aca="false">IF(G123="","",IF(G123="Fechado ganho","Ganha",IF(G123="Fechado perdido","Perdida","Aberta")))</f>
        <v>Perdida</v>
      </c>
      <c r="N123" s="51" t="n">
        <f aca="false">IF(B123="","",IF(M123="Aberta",DataRef-B123,IF(L123="","",L123-B123)))</f>
        <v>52</v>
      </c>
      <c r="O123" s="50" t="str">
        <f aca="false">IF(M123&lt;&gt;"Aberta","",IF(AND(K123&lt;&gt;"",K123&lt;DataRef),"Previsão vencida",IF(N123&gt;DiasParada,"Parada","")))</f>
        <v/>
      </c>
    </row>
    <row r="124" customFormat="false" ht="15" hidden="false" customHeight="false" outlineLevel="0" collapsed="false">
      <c r="A124" s="44" t="s">
        <v>268</v>
      </c>
      <c r="B124" s="45" t="n">
        <v>46054</v>
      </c>
      <c r="C124" s="46" t="s">
        <v>192</v>
      </c>
      <c r="D124" s="46" t="s">
        <v>119</v>
      </c>
      <c r="E124" s="7" t="str">
        <f aca="false">IF(C124="","",IFERROR(INDEX(cl_Regiao,MATCH(C124,cl_Nome,0)),""))</f>
        <v>Sudeste</v>
      </c>
      <c r="F124" s="46" t="s">
        <v>115</v>
      </c>
      <c r="G124" s="46" t="s">
        <v>111</v>
      </c>
      <c r="H124" s="47" t="n">
        <v>17500</v>
      </c>
      <c r="I124" s="48" t="n">
        <f aca="false">IF(G124="","",IFERROR(INDEX(pr_Prob,MATCH(G124,pr_Etapa,0)),0))</f>
        <v>0</v>
      </c>
      <c r="J124" s="49" t="n">
        <f aca="false">IF(H124="","",H124*I124)</f>
        <v>0</v>
      </c>
      <c r="K124" s="45"/>
      <c r="L124" s="45" t="n">
        <v>46131</v>
      </c>
      <c r="M124" s="50" t="str">
        <f aca="false">IF(G124="","",IF(G124="Fechado ganho","Ganha",IF(G124="Fechado perdido","Perdida","Aberta")))</f>
        <v>Perdida</v>
      </c>
      <c r="N124" s="51" t="n">
        <f aca="false">IF(B124="","",IF(M124="Aberta",DataRef-B124,IF(L124="","",L124-B124)))</f>
        <v>77</v>
      </c>
      <c r="O124" s="50" t="str">
        <f aca="false">IF(M124&lt;&gt;"Aberta","",IF(AND(K124&lt;&gt;"",K124&lt;DataRef),"Previsão vencida",IF(N124&gt;DiasParada,"Parada","")))</f>
        <v/>
      </c>
    </row>
    <row r="125" customFormat="false" ht="15" hidden="false" customHeight="false" outlineLevel="0" collapsed="false">
      <c r="A125" s="44" t="s">
        <v>269</v>
      </c>
      <c r="B125" s="45" t="n">
        <v>46054</v>
      </c>
      <c r="C125" s="46" t="s">
        <v>126</v>
      </c>
      <c r="D125" s="46" t="s">
        <v>127</v>
      </c>
      <c r="E125" s="7" t="str">
        <f aca="false">IF(C125="","",IFERROR(INDEX(cl_Regiao,MATCH(C125,cl_Nome,0)),""))</f>
        <v>Sul</v>
      </c>
      <c r="F125" s="46" t="s">
        <v>115</v>
      </c>
      <c r="G125" s="46" t="s">
        <v>116</v>
      </c>
      <c r="H125" s="47" t="n">
        <v>43700</v>
      </c>
      <c r="I125" s="48" t="n">
        <f aca="false">IF(G125="","",IFERROR(INDEX(pr_Prob,MATCH(G125,pr_Etapa,0)),0))</f>
        <v>1</v>
      </c>
      <c r="J125" s="49" t="n">
        <f aca="false">IF(H125="","",H125*I125)</f>
        <v>43700</v>
      </c>
      <c r="K125" s="45"/>
      <c r="L125" s="45" t="n">
        <v>46069</v>
      </c>
      <c r="M125" s="50" t="str">
        <f aca="false">IF(G125="","",IF(G125="Fechado ganho","Ganha",IF(G125="Fechado perdido","Perdida","Aberta")))</f>
        <v>Ganha</v>
      </c>
      <c r="N125" s="51" t="n">
        <f aca="false">IF(B125="","",IF(M125="Aberta",DataRef-B125,IF(L125="","",L125-B125)))</f>
        <v>15</v>
      </c>
      <c r="O125" s="50" t="str">
        <f aca="false">IF(M125&lt;&gt;"Aberta","",IF(AND(K125&lt;&gt;"",K125&lt;DataRef),"Previsão vencida",IF(N125&gt;DiasParada,"Parada","")))</f>
        <v/>
      </c>
    </row>
    <row r="126" customFormat="false" ht="15" hidden="false" customHeight="false" outlineLevel="0" collapsed="false">
      <c r="A126" s="44" t="s">
        <v>270</v>
      </c>
      <c r="B126" s="45" t="n">
        <v>46055</v>
      </c>
      <c r="C126" s="46" t="s">
        <v>118</v>
      </c>
      <c r="D126" s="46" t="s">
        <v>119</v>
      </c>
      <c r="E126" s="7" t="str">
        <f aca="false">IF(C126="","",IFERROR(INDEX(cl_Regiao,MATCH(C126,cl_Nome,0)),""))</f>
        <v>Sudeste</v>
      </c>
      <c r="F126" s="46" t="s">
        <v>122</v>
      </c>
      <c r="G126" s="46" t="s">
        <v>111</v>
      </c>
      <c r="H126" s="47" t="n">
        <v>4300</v>
      </c>
      <c r="I126" s="48" t="n">
        <f aca="false">IF(G126="","",IFERROR(INDEX(pr_Prob,MATCH(G126,pr_Etapa,0)),0))</f>
        <v>0</v>
      </c>
      <c r="J126" s="49" t="n">
        <f aca="false">IF(H126="","",H126*I126)</f>
        <v>0</v>
      </c>
      <c r="K126" s="45"/>
      <c r="L126" s="45" t="n">
        <v>46108</v>
      </c>
      <c r="M126" s="50" t="str">
        <f aca="false">IF(G126="","",IF(G126="Fechado ganho","Ganha",IF(G126="Fechado perdido","Perdida","Aberta")))</f>
        <v>Perdida</v>
      </c>
      <c r="N126" s="51" t="n">
        <f aca="false">IF(B126="","",IF(M126="Aberta",DataRef-B126,IF(L126="","",L126-B126)))</f>
        <v>53</v>
      </c>
      <c r="O126" s="50" t="str">
        <f aca="false">IF(M126&lt;&gt;"Aberta","",IF(AND(K126&lt;&gt;"",K126&lt;DataRef),"Previsão vencida",IF(N126&gt;DiasParada,"Parada","")))</f>
        <v/>
      </c>
    </row>
    <row r="127" customFormat="false" ht="15" hidden="false" customHeight="false" outlineLevel="0" collapsed="false">
      <c r="A127" s="44" t="s">
        <v>271</v>
      </c>
      <c r="B127" s="45" t="n">
        <v>46059</v>
      </c>
      <c r="C127" s="46" t="s">
        <v>148</v>
      </c>
      <c r="D127" s="46" t="s">
        <v>109</v>
      </c>
      <c r="E127" s="7" t="str">
        <f aca="false">IF(C127="","",IFERROR(INDEX(cl_Regiao,MATCH(C127,cl_Nome,0)),""))</f>
        <v>Sudeste</v>
      </c>
      <c r="F127" s="46" t="s">
        <v>122</v>
      </c>
      <c r="G127" s="46" t="s">
        <v>111</v>
      </c>
      <c r="H127" s="47" t="n">
        <v>10200</v>
      </c>
      <c r="I127" s="48" t="n">
        <f aca="false">IF(G127="","",IFERROR(INDEX(pr_Prob,MATCH(G127,pr_Etapa,0)),0))</f>
        <v>0</v>
      </c>
      <c r="J127" s="49" t="n">
        <f aca="false">IF(H127="","",H127*I127)</f>
        <v>0</v>
      </c>
      <c r="K127" s="45"/>
      <c r="L127" s="45" t="n">
        <v>46074</v>
      </c>
      <c r="M127" s="50" t="str">
        <f aca="false">IF(G127="","",IF(G127="Fechado ganho","Ganha",IF(G127="Fechado perdido","Perdida","Aberta")))</f>
        <v>Perdida</v>
      </c>
      <c r="N127" s="51" t="n">
        <f aca="false">IF(B127="","",IF(M127="Aberta",DataRef-B127,IF(L127="","",L127-B127)))</f>
        <v>15</v>
      </c>
      <c r="O127" s="50" t="str">
        <f aca="false">IF(M127&lt;&gt;"Aberta","",IF(AND(K127&lt;&gt;"",K127&lt;DataRef),"Previsão vencida",IF(N127&gt;DiasParada,"Parada","")))</f>
        <v/>
      </c>
    </row>
    <row r="128" customFormat="false" ht="15" hidden="false" customHeight="false" outlineLevel="0" collapsed="false">
      <c r="A128" s="44" t="s">
        <v>272</v>
      </c>
      <c r="B128" s="45" t="n">
        <v>46061</v>
      </c>
      <c r="C128" s="46" t="s">
        <v>148</v>
      </c>
      <c r="D128" s="46" t="s">
        <v>109</v>
      </c>
      <c r="E128" s="7" t="str">
        <f aca="false">IF(C128="","",IFERROR(INDEX(cl_Regiao,MATCH(C128,cl_Nome,0)),""))</f>
        <v>Sudeste</v>
      </c>
      <c r="F128" s="46" t="s">
        <v>110</v>
      </c>
      <c r="G128" s="46" t="s">
        <v>116</v>
      </c>
      <c r="H128" s="47" t="n">
        <v>19000</v>
      </c>
      <c r="I128" s="48" t="n">
        <f aca="false">IF(G128="","",IFERROR(INDEX(pr_Prob,MATCH(G128,pr_Etapa,0)),0))</f>
        <v>1</v>
      </c>
      <c r="J128" s="49" t="n">
        <f aca="false">IF(H128="","",H128*I128)</f>
        <v>19000</v>
      </c>
      <c r="K128" s="45"/>
      <c r="L128" s="45" t="n">
        <v>46140</v>
      </c>
      <c r="M128" s="50" t="str">
        <f aca="false">IF(G128="","",IF(G128="Fechado ganho","Ganha",IF(G128="Fechado perdido","Perdida","Aberta")))</f>
        <v>Ganha</v>
      </c>
      <c r="N128" s="51" t="n">
        <f aca="false">IF(B128="","",IF(M128="Aberta",DataRef-B128,IF(L128="","",L128-B128)))</f>
        <v>79</v>
      </c>
      <c r="O128" s="50" t="str">
        <f aca="false">IF(M128&lt;&gt;"Aberta","",IF(AND(K128&lt;&gt;"",K128&lt;DataRef),"Previsão vencida",IF(N128&gt;DiasParada,"Parada","")))</f>
        <v/>
      </c>
    </row>
    <row r="129" customFormat="false" ht="15" hidden="false" customHeight="false" outlineLevel="0" collapsed="false">
      <c r="A129" s="44" t="s">
        <v>273</v>
      </c>
      <c r="B129" s="45" t="n">
        <v>46063</v>
      </c>
      <c r="C129" s="46" t="s">
        <v>168</v>
      </c>
      <c r="D129" s="46" t="s">
        <v>127</v>
      </c>
      <c r="E129" s="7" t="str">
        <f aca="false">IF(C129="","",IFERROR(INDEX(cl_Regiao,MATCH(C129,cl_Nome,0)),""))</f>
        <v>Sul</v>
      </c>
      <c r="F129" s="46" t="s">
        <v>110</v>
      </c>
      <c r="G129" s="46" t="s">
        <v>116</v>
      </c>
      <c r="H129" s="47" t="n">
        <v>10500</v>
      </c>
      <c r="I129" s="48" t="n">
        <f aca="false">IF(G129="","",IFERROR(INDEX(pr_Prob,MATCH(G129,pr_Etapa,0)),0))</f>
        <v>1</v>
      </c>
      <c r="J129" s="49" t="n">
        <f aca="false">IF(H129="","",H129*I129)</f>
        <v>10500</v>
      </c>
      <c r="K129" s="45"/>
      <c r="L129" s="45" t="n">
        <v>46138</v>
      </c>
      <c r="M129" s="50" t="str">
        <f aca="false">IF(G129="","",IF(G129="Fechado ganho","Ganha",IF(G129="Fechado perdido","Perdida","Aberta")))</f>
        <v>Ganha</v>
      </c>
      <c r="N129" s="51" t="n">
        <f aca="false">IF(B129="","",IF(M129="Aberta",DataRef-B129,IF(L129="","",L129-B129)))</f>
        <v>75</v>
      </c>
      <c r="O129" s="50" t="str">
        <f aca="false">IF(M129&lt;&gt;"Aberta","",IF(AND(K129&lt;&gt;"",K129&lt;DataRef),"Previsão vencida",IF(N129&gt;DiasParada,"Parada","")))</f>
        <v/>
      </c>
    </row>
    <row r="130" customFormat="false" ht="15" hidden="false" customHeight="false" outlineLevel="0" collapsed="false">
      <c r="A130" s="44" t="s">
        <v>274</v>
      </c>
      <c r="B130" s="45" t="n">
        <v>46065</v>
      </c>
      <c r="C130" s="46" t="s">
        <v>137</v>
      </c>
      <c r="D130" s="46" t="s">
        <v>114</v>
      </c>
      <c r="E130" s="7" t="str">
        <f aca="false">IF(C130="","",IFERROR(INDEX(cl_Regiao,MATCH(C130,cl_Nome,0)),""))</f>
        <v>Norte</v>
      </c>
      <c r="F130" s="46" t="s">
        <v>115</v>
      </c>
      <c r="G130" s="46" t="s">
        <v>111</v>
      </c>
      <c r="H130" s="47" t="n">
        <v>33900</v>
      </c>
      <c r="I130" s="48" t="n">
        <f aca="false">IF(G130="","",IFERROR(INDEX(pr_Prob,MATCH(G130,pr_Etapa,0)),0))</f>
        <v>0</v>
      </c>
      <c r="J130" s="49" t="n">
        <f aca="false">IF(H130="","",H130*I130)</f>
        <v>0</v>
      </c>
      <c r="K130" s="45"/>
      <c r="L130" s="45" t="n">
        <v>46092</v>
      </c>
      <c r="M130" s="50" t="str">
        <f aca="false">IF(G130="","",IF(G130="Fechado ganho","Ganha",IF(G130="Fechado perdido","Perdida","Aberta")))</f>
        <v>Perdida</v>
      </c>
      <c r="N130" s="51" t="n">
        <f aca="false">IF(B130="","",IF(M130="Aberta",DataRef-B130,IF(L130="","",L130-B130)))</f>
        <v>27</v>
      </c>
      <c r="O130" s="50" t="str">
        <f aca="false">IF(M130&lt;&gt;"Aberta","",IF(AND(K130&lt;&gt;"",K130&lt;DataRef),"Previsão vencida",IF(N130&gt;DiasParada,"Parada","")))</f>
        <v/>
      </c>
    </row>
    <row r="131" customFormat="false" ht="15" hidden="false" customHeight="false" outlineLevel="0" collapsed="false">
      <c r="A131" s="44" t="s">
        <v>275</v>
      </c>
      <c r="B131" s="45" t="n">
        <v>46069</v>
      </c>
      <c r="C131" s="46" t="s">
        <v>145</v>
      </c>
      <c r="D131" s="46" t="s">
        <v>114</v>
      </c>
      <c r="E131" s="7" t="str">
        <f aca="false">IF(C131="","",IFERROR(INDEX(cl_Regiao,MATCH(C131,cl_Nome,0)),""))</f>
        <v>Norte</v>
      </c>
      <c r="F131" s="46" t="s">
        <v>110</v>
      </c>
      <c r="G131" s="46" t="s">
        <v>116</v>
      </c>
      <c r="H131" s="47" t="n">
        <v>14000</v>
      </c>
      <c r="I131" s="48" t="n">
        <f aca="false">IF(G131="","",IFERROR(INDEX(pr_Prob,MATCH(G131,pr_Etapa,0)),0))</f>
        <v>1</v>
      </c>
      <c r="J131" s="49" t="n">
        <f aca="false">IF(H131="","",H131*I131)</f>
        <v>14000</v>
      </c>
      <c r="K131" s="45"/>
      <c r="L131" s="45" t="n">
        <v>46086</v>
      </c>
      <c r="M131" s="50" t="str">
        <f aca="false">IF(G131="","",IF(G131="Fechado ganho","Ganha",IF(G131="Fechado perdido","Perdida","Aberta")))</f>
        <v>Ganha</v>
      </c>
      <c r="N131" s="51" t="n">
        <f aca="false">IF(B131="","",IF(M131="Aberta",DataRef-B131,IF(L131="","",L131-B131)))</f>
        <v>17</v>
      </c>
      <c r="O131" s="50" t="str">
        <f aca="false">IF(M131&lt;&gt;"Aberta","",IF(AND(K131&lt;&gt;"",K131&lt;DataRef),"Previsão vencida",IF(N131&gt;DiasParada,"Parada","")))</f>
        <v/>
      </c>
    </row>
    <row r="132" customFormat="false" ht="15" hidden="false" customHeight="false" outlineLevel="0" collapsed="false">
      <c r="A132" s="44" t="s">
        <v>276</v>
      </c>
      <c r="B132" s="45" t="n">
        <v>46069</v>
      </c>
      <c r="C132" s="46" t="s">
        <v>155</v>
      </c>
      <c r="D132" s="46" t="s">
        <v>127</v>
      </c>
      <c r="E132" s="7" t="str">
        <f aca="false">IF(C132="","",IFERROR(INDEX(cl_Regiao,MATCH(C132,cl_Nome,0)),""))</f>
        <v>Sul</v>
      </c>
      <c r="F132" s="46" t="s">
        <v>115</v>
      </c>
      <c r="G132" s="46" t="s">
        <v>111</v>
      </c>
      <c r="H132" s="47" t="n">
        <v>52700</v>
      </c>
      <c r="I132" s="48" t="n">
        <f aca="false">IF(G132="","",IFERROR(INDEX(pr_Prob,MATCH(G132,pr_Etapa,0)),0))</f>
        <v>0</v>
      </c>
      <c r="J132" s="49" t="n">
        <f aca="false">IF(H132="","",H132*I132)</f>
        <v>0</v>
      </c>
      <c r="K132" s="45"/>
      <c r="L132" s="45" t="n">
        <v>46127</v>
      </c>
      <c r="M132" s="50" t="str">
        <f aca="false">IF(G132="","",IF(G132="Fechado ganho","Ganha",IF(G132="Fechado perdido","Perdida","Aberta")))</f>
        <v>Perdida</v>
      </c>
      <c r="N132" s="51" t="n">
        <f aca="false">IF(B132="","",IF(M132="Aberta",DataRef-B132,IF(L132="","",L132-B132)))</f>
        <v>58</v>
      </c>
      <c r="O132" s="50" t="str">
        <f aca="false">IF(M132&lt;&gt;"Aberta","",IF(AND(K132&lt;&gt;"",K132&lt;DataRef),"Previsão vencida",IF(N132&gt;DiasParada,"Parada","")))</f>
        <v/>
      </c>
    </row>
    <row r="133" customFormat="false" ht="15" hidden="false" customHeight="false" outlineLevel="0" collapsed="false">
      <c r="A133" s="44" t="s">
        <v>277</v>
      </c>
      <c r="B133" s="45" t="n">
        <v>46069</v>
      </c>
      <c r="C133" s="46" t="s">
        <v>155</v>
      </c>
      <c r="D133" s="46" t="s">
        <v>127</v>
      </c>
      <c r="E133" s="7" t="str">
        <f aca="false">IF(C133="","",IFERROR(INDEX(cl_Regiao,MATCH(C133,cl_Nome,0)),""))</f>
        <v>Sul</v>
      </c>
      <c r="F133" s="46" t="s">
        <v>115</v>
      </c>
      <c r="G133" s="46" t="s">
        <v>111</v>
      </c>
      <c r="H133" s="47" t="n">
        <v>13000</v>
      </c>
      <c r="I133" s="48" t="n">
        <f aca="false">IF(G133="","",IFERROR(INDEX(pr_Prob,MATCH(G133,pr_Etapa,0)),0))</f>
        <v>0</v>
      </c>
      <c r="J133" s="49" t="n">
        <f aca="false">IF(H133="","",H133*I133)</f>
        <v>0</v>
      </c>
      <c r="K133" s="45"/>
      <c r="L133" s="45" t="n">
        <v>46142</v>
      </c>
      <c r="M133" s="50" t="str">
        <f aca="false">IF(G133="","",IF(G133="Fechado ganho","Ganha",IF(G133="Fechado perdido","Perdida","Aberta")))</f>
        <v>Perdida</v>
      </c>
      <c r="N133" s="51" t="n">
        <f aca="false">IF(B133="","",IF(M133="Aberta",DataRef-B133,IF(L133="","",L133-B133)))</f>
        <v>73</v>
      </c>
      <c r="O133" s="50" t="str">
        <f aca="false">IF(M133&lt;&gt;"Aberta","",IF(AND(K133&lt;&gt;"",K133&lt;DataRef),"Previsão vencida",IF(N133&gt;DiasParada,"Parada","")))</f>
        <v/>
      </c>
    </row>
    <row r="134" customFormat="false" ht="15" hidden="false" customHeight="false" outlineLevel="0" collapsed="false">
      <c r="A134" s="44" t="s">
        <v>278</v>
      </c>
      <c r="B134" s="45" t="n">
        <v>46069</v>
      </c>
      <c r="C134" s="46" t="s">
        <v>164</v>
      </c>
      <c r="D134" s="46" t="s">
        <v>165</v>
      </c>
      <c r="E134" s="7" t="str">
        <f aca="false">IF(C134="","",IFERROR(INDEX(cl_Regiao,MATCH(C134,cl_Nome,0)),""))</f>
        <v>Nordeste</v>
      </c>
      <c r="F134" s="46" t="s">
        <v>110</v>
      </c>
      <c r="G134" s="46" t="s">
        <v>116</v>
      </c>
      <c r="H134" s="47" t="n">
        <v>18100</v>
      </c>
      <c r="I134" s="48" t="n">
        <f aca="false">IF(G134="","",IFERROR(INDEX(pr_Prob,MATCH(G134,pr_Etapa,0)),0))</f>
        <v>1</v>
      </c>
      <c r="J134" s="49" t="n">
        <f aca="false">IF(H134="","",H134*I134)</f>
        <v>18100</v>
      </c>
      <c r="K134" s="45"/>
      <c r="L134" s="45" t="n">
        <v>46116</v>
      </c>
      <c r="M134" s="50" t="str">
        <f aca="false">IF(G134="","",IF(G134="Fechado ganho","Ganha",IF(G134="Fechado perdido","Perdida","Aberta")))</f>
        <v>Ganha</v>
      </c>
      <c r="N134" s="51" t="n">
        <f aca="false">IF(B134="","",IF(M134="Aberta",DataRef-B134,IF(L134="","",L134-B134)))</f>
        <v>47</v>
      </c>
      <c r="O134" s="50" t="str">
        <f aca="false">IF(M134&lt;&gt;"Aberta","",IF(AND(K134&lt;&gt;"",K134&lt;DataRef),"Previsão vencida",IF(N134&gt;DiasParada,"Parada","")))</f>
        <v/>
      </c>
    </row>
    <row r="135" customFormat="false" ht="15" hidden="false" customHeight="false" outlineLevel="0" collapsed="false">
      <c r="A135" s="44" t="s">
        <v>279</v>
      </c>
      <c r="B135" s="45" t="n">
        <v>46070</v>
      </c>
      <c r="C135" s="46" t="s">
        <v>207</v>
      </c>
      <c r="D135" s="46" t="s">
        <v>165</v>
      </c>
      <c r="E135" s="7" t="str">
        <f aca="false">IF(C135="","",IFERROR(INDEX(cl_Regiao,MATCH(C135,cl_Nome,0)),""))</f>
        <v>Nordeste</v>
      </c>
      <c r="F135" s="46" t="s">
        <v>122</v>
      </c>
      <c r="G135" s="46" t="s">
        <v>116</v>
      </c>
      <c r="H135" s="47" t="n">
        <v>6200</v>
      </c>
      <c r="I135" s="48" t="n">
        <f aca="false">IF(G135="","",IFERROR(INDEX(pr_Prob,MATCH(G135,pr_Etapa,0)),0))</f>
        <v>1</v>
      </c>
      <c r="J135" s="49" t="n">
        <f aca="false">IF(H135="","",H135*I135)</f>
        <v>6200</v>
      </c>
      <c r="K135" s="45"/>
      <c r="L135" s="45" t="n">
        <v>46108</v>
      </c>
      <c r="M135" s="50" t="str">
        <f aca="false">IF(G135="","",IF(G135="Fechado ganho","Ganha",IF(G135="Fechado perdido","Perdida","Aberta")))</f>
        <v>Ganha</v>
      </c>
      <c r="N135" s="51" t="n">
        <f aca="false">IF(B135="","",IF(M135="Aberta",DataRef-B135,IF(L135="","",L135-B135)))</f>
        <v>38</v>
      </c>
      <c r="O135" s="50" t="str">
        <f aca="false">IF(M135&lt;&gt;"Aberta","",IF(AND(K135&lt;&gt;"",K135&lt;DataRef),"Previsão vencida",IF(N135&gt;DiasParada,"Parada","")))</f>
        <v/>
      </c>
    </row>
    <row r="136" customFormat="false" ht="15" hidden="false" customHeight="false" outlineLevel="0" collapsed="false">
      <c r="A136" s="44" t="s">
        <v>280</v>
      </c>
      <c r="B136" s="45" t="n">
        <v>46072</v>
      </c>
      <c r="C136" s="46" t="s">
        <v>126</v>
      </c>
      <c r="D136" s="46" t="s">
        <v>127</v>
      </c>
      <c r="E136" s="7" t="str">
        <f aca="false">IF(C136="","",IFERROR(INDEX(cl_Regiao,MATCH(C136,cl_Nome,0)),""))</f>
        <v>Sul</v>
      </c>
      <c r="F136" s="46" t="s">
        <v>128</v>
      </c>
      <c r="G136" s="46" t="s">
        <v>116</v>
      </c>
      <c r="H136" s="47" t="n">
        <v>32400</v>
      </c>
      <c r="I136" s="48" t="n">
        <f aca="false">IF(G136="","",IFERROR(INDEX(pr_Prob,MATCH(G136,pr_Etapa,0)),0))</f>
        <v>1</v>
      </c>
      <c r="J136" s="49" t="n">
        <f aca="false">IF(H136="","",H136*I136)</f>
        <v>32400</v>
      </c>
      <c r="K136" s="45"/>
      <c r="L136" s="45" t="n">
        <v>46108</v>
      </c>
      <c r="M136" s="50" t="str">
        <f aca="false">IF(G136="","",IF(G136="Fechado ganho","Ganha",IF(G136="Fechado perdido","Perdida","Aberta")))</f>
        <v>Ganha</v>
      </c>
      <c r="N136" s="51" t="n">
        <f aca="false">IF(B136="","",IF(M136="Aberta",DataRef-B136,IF(L136="","",L136-B136)))</f>
        <v>36</v>
      </c>
      <c r="O136" s="50" t="str">
        <f aca="false">IF(M136&lt;&gt;"Aberta","",IF(AND(K136&lt;&gt;"",K136&lt;DataRef),"Previsão vencida",IF(N136&gt;DiasParada,"Parada","")))</f>
        <v/>
      </c>
    </row>
    <row r="137" customFormat="false" ht="15" hidden="false" customHeight="false" outlineLevel="0" collapsed="false">
      <c r="A137" s="44" t="s">
        <v>281</v>
      </c>
      <c r="B137" s="45" t="n">
        <v>46075</v>
      </c>
      <c r="C137" s="46" t="s">
        <v>164</v>
      </c>
      <c r="D137" s="46" t="s">
        <v>165</v>
      </c>
      <c r="E137" s="7" t="str">
        <f aca="false">IF(C137="","",IFERROR(INDEX(cl_Regiao,MATCH(C137,cl_Nome,0)),""))</f>
        <v>Nordeste</v>
      </c>
      <c r="F137" s="46" t="s">
        <v>115</v>
      </c>
      <c r="G137" s="46" t="s">
        <v>116</v>
      </c>
      <c r="H137" s="47" t="n">
        <v>37700</v>
      </c>
      <c r="I137" s="48" t="n">
        <f aca="false">IF(G137="","",IFERROR(INDEX(pr_Prob,MATCH(G137,pr_Etapa,0)),0))</f>
        <v>1</v>
      </c>
      <c r="J137" s="49" t="n">
        <f aca="false">IF(H137="","",H137*I137)</f>
        <v>37700</v>
      </c>
      <c r="K137" s="45"/>
      <c r="L137" s="45" t="n">
        <v>46145</v>
      </c>
      <c r="M137" s="50" t="str">
        <f aca="false">IF(G137="","",IF(G137="Fechado ganho","Ganha",IF(G137="Fechado perdido","Perdida","Aberta")))</f>
        <v>Ganha</v>
      </c>
      <c r="N137" s="51" t="n">
        <f aca="false">IF(B137="","",IF(M137="Aberta",DataRef-B137,IF(L137="","",L137-B137)))</f>
        <v>70</v>
      </c>
      <c r="O137" s="50" t="str">
        <f aca="false">IF(M137&lt;&gt;"Aberta","",IF(AND(K137&lt;&gt;"",K137&lt;DataRef),"Previsão vencida",IF(N137&gt;DiasParada,"Parada","")))</f>
        <v/>
      </c>
    </row>
    <row r="138" customFormat="false" ht="15" hidden="false" customHeight="false" outlineLevel="0" collapsed="false">
      <c r="A138" s="44" t="s">
        <v>282</v>
      </c>
      <c r="B138" s="45" t="n">
        <v>46077</v>
      </c>
      <c r="C138" s="46" t="s">
        <v>108</v>
      </c>
      <c r="D138" s="46" t="s">
        <v>109</v>
      </c>
      <c r="E138" s="7" t="str">
        <f aca="false">IF(C138="","",IFERROR(INDEX(cl_Regiao,MATCH(C138,cl_Nome,0)),""))</f>
        <v>Sudeste</v>
      </c>
      <c r="F138" s="46" t="s">
        <v>128</v>
      </c>
      <c r="G138" s="46" t="s">
        <v>116</v>
      </c>
      <c r="H138" s="47" t="n">
        <v>28400</v>
      </c>
      <c r="I138" s="48" t="n">
        <f aca="false">IF(G138="","",IFERROR(INDEX(pr_Prob,MATCH(G138,pr_Etapa,0)),0))</f>
        <v>1</v>
      </c>
      <c r="J138" s="49" t="n">
        <f aca="false">IF(H138="","",H138*I138)</f>
        <v>28400</v>
      </c>
      <c r="K138" s="45"/>
      <c r="L138" s="45" t="n">
        <v>46150</v>
      </c>
      <c r="M138" s="50" t="str">
        <f aca="false">IF(G138="","",IF(G138="Fechado ganho","Ganha",IF(G138="Fechado perdido","Perdida","Aberta")))</f>
        <v>Ganha</v>
      </c>
      <c r="N138" s="51" t="n">
        <f aca="false">IF(B138="","",IF(M138="Aberta",DataRef-B138,IF(L138="","",L138-B138)))</f>
        <v>73</v>
      </c>
      <c r="O138" s="50" t="str">
        <f aca="false">IF(M138&lt;&gt;"Aberta","",IF(AND(K138&lt;&gt;"",K138&lt;DataRef),"Previsão vencida",IF(N138&gt;DiasParada,"Parada","")))</f>
        <v/>
      </c>
    </row>
    <row r="139" customFormat="false" ht="15" hidden="false" customHeight="false" outlineLevel="0" collapsed="false">
      <c r="A139" s="44" t="s">
        <v>283</v>
      </c>
      <c r="B139" s="45" t="n">
        <v>46077</v>
      </c>
      <c r="C139" s="46" t="s">
        <v>175</v>
      </c>
      <c r="D139" s="46" t="s">
        <v>114</v>
      </c>
      <c r="E139" s="7" t="str">
        <f aca="false">IF(C139="","",IFERROR(INDEX(cl_Regiao,MATCH(C139,cl_Nome,0)),""))</f>
        <v>Norte</v>
      </c>
      <c r="F139" s="46" t="s">
        <v>110</v>
      </c>
      <c r="G139" s="46" t="s">
        <v>111</v>
      </c>
      <c r="H139" s="47" t="n">
        <v>12000</v>
      </c>
      <c r="I139" s="48" t="n">
        <f aca="false">IF(G139="","",IFERROR(INDEX(pr_Prob,MATCH(G139,pr_Etapa,0)),0))</f>
        <v>0</v>
      </c>
      <c r="J139" s="49" t="n">
        <f aca="false">IF(H139="","",H139*I139)</f>
        <v>0</v>
      </c>
      <c r="K139" s="45"/>
      <c r="L139" s="45" t="n">
        <v>46157</v>
      </c>
      <c r="M139" s="50" t="str">
        <f aca="false">IF(G139="","",IF(G139="Fechado ganho","Ganha",IF(G139="Fechado perdido","Perdida","Aberta")))</f>
        <v>Perdida</v>
      </c>
      <c r="N139" s="51" t="n">
        <f aca="false">IF(B139="","",IF(M139="Aberta",DataRef-B139,IF(L139="","",L139-B139)))</f>
        <v>80</v>
      </c>
      <c r="O139" s="50" t="str">
        <f aca="false">IF(M139&lt;&gt;"Aberta","",IF(AND(K139&lt;&gt;"",K139&lt;DataRef),"Previsão vencida",IF(N139&gt;DiasParada,"Parada","")))</f>
        <v/>
      </c>
    </row>
    <row r="140" customFormat="false" ht="15" hidden="false" customHeight="false" outlineLevel="0" collapsed="false">
      <c r="A140" s="44" t="s">
        <v>284</v>
      </c>
      <c r="B140" s="45" t="n">
        <v>46079</v>
      </c>
      <c r="C140" s="46" t="s">
        <v>137</v>
      </c>
      <c r="D140" s="46" t="s">
        <v>114</v>
      </c>
      <c r="E140" s="7" t="str">
        <f aca="false">IF(C140="","",IFERROR(INDEX(cl_Regiao,MATCH(C140,cl_Nome,0)),""))</f>
        <v>Norte</v>
      </c>
      <c r="F140" s="46" t="s">
        <v>122</v>
      </c>
      <c r="G140" s="46" t="s">
        <v>111</v>
      </c>
      <c r="H140" s="47" t="n">
        <v>11000</v>
      </c>
      <c r="I140" s="48" t="n">
        <f aca="false">IF(G140="","",IFERROR(INDEX(pr_Prob,MATCH(G140,pr_Etapa,0)),0))</f>
        <v>0</v>
      </c>
      <c r="J140" s="49" t="n">
        <f aca="false">IF(H140="","",H140*I140)</f>
        <v>0</v>
      </c>
      <c r="K140" s="45"/>
      <c r="L140" s="45" t="n">
        <v>46134</v>
      </c>
      <c r="M140" s="50" t="str">
        <f aca="false">IF(G140="","",IF(G140="Fechado ganho","Ganha",IF(G140="Fechado perdido","Perdida","Aberta")))</f>
        <v>Perdida</v>
      </c>
      <c r="N140" s="51" t="n">
        <f aca="false">IF(B140="","",IF(M140="Aberta",DataRef-B140,IF(L140="","",L140-B140)))</f>
        <v>55</v>
      </c>
      <c r="O140" s="50" t="str">
        <f aca="false">IF(M140&lt;&gt;"Aberta","",IF(AND(K140&lt;&gt;"",K140&lt;DataRef),"Previsão vencida",IF(N140&gt;DiasParada,"Parada","")))</f>
        <v/>
      </c>
    </row>
    <row r="141" customFormat="false" ht="15" hidden="false" customHeight="false" outlineLevel="0" collapsed="false">
      <c r="A141" s="44" t="s">
        <v>285</v>
      </c>
      <c r="B141" s="45" t="n">
        <v>46079</v>
      </c>
      <c r="C141" s="46" t="s">
        <v>192</v>
      </c>
      <c r="D141" s="46" t="s">
        <v>119</v>
      </c>
      <c r="E141" s="7" t="str">
        <f aca="false">IF(C141="","",IFERROR(INDEX(cl_Regiao,MATCH(C141,cl_Nome,0)),""))</f>
        <v>Sudeste</v>
      </c>
      <c r="F141" s="46" t="s">
        <v>122</v>
      </c>
      <c r="G141" s="46" t="s">
        <v>111</v>
      </c>
      <c r="H141" s="47" t="n">
        <v>3700</v>
      </c>
      <c r="I141" s="48" t="n">
        <f aca="false">IF(G141="","",IFERROR(INDEX(pr_Prob,MATCH(G141,pr_Etapa,0)),0))</f>
        <v>0</v>
      </c>
      <c r="J141" s="49" t="n">
        <f aca="false">IF(H141="","",H141*I141)</f>
        <v>0</v>
      </c>
      <c r="K141" s="45"/>
      <c r="L141" s="45" t="n">
        <v>46147</v>
      </c>
      <c r="M141" s="50" t="str">
        <f aca="false">IF(G141="","",IF(G141="Fechado ganho","Ganha",IF(G141="Fechado perdido","Perdida","Aberta")))</f>
        <v>Perdida</v>
      </c>
      <c r="N141" s="51" t="n">
        <f aca="false">IF(B141="","",IF(M141="Aberta",DataRef-B141,IF(L141="","",L141-B141)))</f>
        <v>68</v>
      </c>
      <c r="O141" s="50" t="str">
        <f aca="false">IF(M141&lt;&gt;"Aberta","",IF(AND(K141&lt;&gt;"",K141&lt;DataRef),"Previsão vencida",IF(N141&gt;DiasParada,"Parada","")))</f>
        <v/>
      </c>
    </row>
    <row r="142" customFormat="false" ht="15" hidden="false" customHeight="false" outlineLevel="0" collapsed="false">
      <c r="A142" s="44" t="s">
        <v>286</v>
      </c>
      <c r="B142" s="45" t="n">
        <v>46079</v>
      </c>
      <c r="C142" s="46" t="s">
        <v>158</v>
      </c>
      <c r="D142" s="46" t="s">
        <v>131</v>
      </c>
      <c r="E142" s="7" t="str">
        <f aca="false">IF(C142="","",IFERROR(INDEX(cl_Regiao,MATCH(C142,cl_Nome,0)),""))</f>
        <v>Centro-Oeste</v>
      </c>
      <c r="F142" s="46" t="s">
        <v>115</v>
      </c>
      <c r="G142" s="46" t="s">
        <v>116</v>
      </c>
      <c r="H142" s="47" t="n">
        <v>53000</v>
      </c>
      <c r="I142" s="48" t="n">
        <f aca="false">IF(G142="","",IFERROR(INDEX(pr_Prob,MATCH(G142,pr_Etapa,0)),0))</f>
        <v>1</v>
      </c>
      <c r="J142" s="49" t="n">
        <f aca="false">IF(H142="","",H142*I142)</f>
        <v>53000</v>
      </c>
      <c r="K142" s="45"/>
      <c r="L142" s="45" t="n">
        <v>46144</v>
      </c>
      <c r="M142" s="50" t="str">
        <f aca="false">IF(G142="","",IF(G142="Fechado ganho","Ganha",IF(G142="Fechado perdido","Perdida","Aberta")))</f>
        <v>Ganha</v>
      </c>
      <c r="N142" s="51" t="n">
        <f aca="false">IF(B142="","",IF(M142="Aberta",DataRef-B142,IF(L142="","",L142-B142)))</f>
        <v>65</v>
      </c>
      <c r="O142" s="50" t="str">
        <f aca="false">IF(M142&lt;&gt;"Aberta","",IF(AND(K142&lt;&gt;"",K142&lt;DataRef),"Previsão vencida",IF(N142&gt;DiasParada,"Parada","")))</f>
        <v/>
      </c>
    </row>
    <row r="143" customFormat="false" ht="15" hidden="false" customHeight="false" outlineLevel="0" collapsed="false">
      <c r="A143" s="44" t="s">
        <v>287</v>
      </c>
      <c r="B143" s="45" t="n">
        <v>46080</v>
      </c>
      <c r="C143" s="46" t="s">
        <v>118</v>
      </c>
      <c r="D143" s="46" t="s">
        <v>119</v>
      </c>
      <c r="E143" s="7" t="str">
        <f aca="false">IF(C143="","",IFERROR(INDEX(cl_Regiao,MATCH(C143,cl_Nome,0)),""))</f>
        <v>Sudeste</v>
      </c>
      <c r="F143" s="46" t="s">
        <v>122</v>
      </c>
      <c r="G143" s="46" t="s">
        <v>116</v>
      </c>
      <c r="H143" s="47" t="n">
        <v>7400</v>
      </c>
      <c r="I143" s="48" t="n">
        <f aca="false">IF(G143="","",IFERROR(INDEX(pr_Prob,MATCH(G143,pr_Etapa,0)),0))</f>
        <v>1</v>
      </c>
      <c r="J143" s="49" t="n">
        <f aca="false">IF(H143="","",H143*I143)</f>
        <v>7400</v>
      </c>
      <c r="K143" s="45"/>
      <c r="L143" s="45" t="n">
        <v>46093</v>
      </c>
      <c r="M143" s="50" t="str">
        <f aca="false">IF(G143="","",IF(G143="Fechado ganho","Ganha",IF(G143="Fechado perdido","Perdida","Aberta")))</f>
        <v>Ganha</v>
      </c>
      <c r="N143" s="51" t="n">
        <f aca="false">IF(B143="","",IF(M143="Aberta",DataRef-B143,IF(L143="","",L143-B143)))</f>
        <v>13</v>
      </c>
      <c r="O143" s="50" t="str">
        <f aca="false">IF(M143&lt;&gt;"Aberta","",IF(AND(K143&lt;&gt;"",K143&lt;DataRef),"Previsão vencida",IF(N143&gt;DiasParada,"Parada","")))</f>
        <v/>
      </c>
    </row>
    <row r="144" customFormat="false" ht="15" hidden="false" customHeight="false" outlineLevel="0" collapsed="false">
      <c r="A144" s="44" t="s">
        <v>288</v>
      </c>
      <c r="B144" s="45" t="n">
        <v>46081</v>
      </c>
      <c r="C144" s="46" t="s">
        <v>137</v>
      </c>
      <c r="D144" s="46" t="s">
        <v>114</v>
      </c>
      <c r="E144" s="7" t="str">
        <f aca="false">IF(C144="","",IFERROR(INDEX(cl_Regiao,MATCH(C144,cl_Nome,0)),""))</f>
        <v>Norte</v>
      </c>
      <c r="F144" s="46" t="s">
        <v>115</v>
      </c>
      <c r="G144" s="46" t="s">
        <v>111</v>
      </c>
      <c r="H144" s="47" t="n">
        <v>52900</v>
      </c>
      <c r="I144" s="48" t="n">
        <f aca="false">IF(G144="","",IFERROR(INDEX(pr_Prob,MATCH(G144,pr_Etapa,0)),0))</f>
        <v>0</v>
      </c>
      <c r="J144" s="49" t="n">
        <f aca="false">IF(H144="","",H144*I144)</f>
        <v>0</v>
      </c>
      <c r="K144" s="45"/>
      <c r="L144" s="45" t="n">
        <v>46105</v>
      </c>
      <c r="M144" s="50" t="str">
        <f aca="false">IF(G144="","",IF(G144="Fechado ganho","Ganha",IF(G144="Fechado perdido","Perdida","Aberta")))</f>
        <v>Perdida</v>
      </c>
      <c r="N144" s="51" t="n">
        <f aca="false">IF(B144="","",IF(M144="Aberta",DataRef-B144,IF(L144="","",L144-B144)))</f>
        <v>24</v>
      </c>
      <c r="O144" s="50" t="str">
        <f aca="false">IF(M144&lt;&gt;"Aberta","",IF(AND(K144&lt;&gt;"",K144&lt;DataRef),"Previsão vencida",IF(N144&gt;DiasParada,"Parada","")))</f>
        <v/>
      </c>
    </row>
    <row r="145" customFormat="false" ht="15" hidden="false" customHeight="false" outlineLevel="0" collapsed="false">
      <c r="A145" s="44" t="s">
        <v>289</v>
      </c>
      <c r="B145" s="45" t="n">
        <v>46082</v>
      </c>
      <c r="C145" s="46" t="s">
        <v>182</v>
      </c>
      <c r="D145" s="46" t="s">
        <v>109</v>
      </c>
      <c r="E145" s="7" t="str">
        <f aca="false">IF(C145="","",IFERROR(INDEX(cl_Regiao,MATCH(C145,cl_Nome,0)),""))</f>
        <v>Sudeste</v>
      </c>
      <c r="F145" s="46" t="s">
        <v>122</v>
      </c>
      <c r="G145" s="46" t="s">
        <v>111</v>
      </c>
      <c r="H145" s="47" t="n">
        <v>9300</v>
      </c>
      <c r="I145" s="48" t="n">
        <f aca="false">IF(G145="","",IFERROR(INDEX(pr_Prob,MATCH(G145,pr_Etapa,0)),0))</f>
        <v>0</v>
      </c>
      <c r="J145" s="49" t="n">
        <f aca="false">IF(H145="","",H145*I145)</f>
        <v>0</v>
      </c>
      <c r="K145" s="45"/>
      <c r="L145" s="45" t="n">
        <v>46151</v>
      </c>
      <c r="M145" s="50" t="str">
        <f aca="false">IF(G145="","",IF(G145="Fechado ganho","Ganha",IF(G145="Fechado perdido","Perdida","Aberta")))</f>
        <v>Perdida</v>
      </c>
      <c r="N145" s="51" t="n">
        <f aca="false">IF(B145="","",IF(M145="Aberta",DataRef-B145,IF(L145="","",L145-B145)))</f>
        <v>69</v>
      </c>
      <c r="O145" s="50" t="str">
        <f aca="false">IF(M145&lt;&gt;"Aberta","",IF(AND(K145&lt;&gt;"",K145&lt;DataRef),"Previsão vencida",IF(N145&gt;DiasParada,"Parada","")))</f>
        <v/>
      </c>
    </row>
    <row r="146" customFormat="false" ht="15" hidden="false" customHeight="false" outlineLevel="0" collapsed="false">
      <c r="A146" s="44" t="s">
        <v>290</v>
      </c>
      <c r="B146" s="45" t="n">
        <v>46084</v>
      </c>
      <c r="C146" s="46" t="s">
        <v>155</v>
      </c>
      <c r="D146" s="46" t="s">
        <v>127</v>
      </c>
      <c r="E146" s="7" t="str">
        <f aca="false">IF(C146="","",IFERROR(INDEX(cl_Regiao,MATCH(C146,cl_Nome,0)),""))</f>
        <v>Sul</v>
      </c>
      <c r="F146" s="46" t="s">
        <v>122</v>
      </c>
      <c r="G146" s="46" t="s">
        <v>111</v>
      </c>
      <c r="H146" s="47" t="n">
        <v>10400</v>
      </c>
      <c r="I146" s="48" t="n">
        <f aca="false">IF(G146="","",IFERROR(INDEX(pr_Prob,MATCH(G146,pr_Etapa,0)),0))</f>
        <v>0</v>
      </c>
      <c r="J146" s="49" t="n">
        <f aca="false">IF(H146="","",H146*I146)</f>
        <v>0</v>
      </c>
      <c r="K146" s="45"/>
      <c r="L146" s="45" t="n">
        <v>46144</v>
      </c>
      <c r="M146" s="50" t="str">
        <f aca="false">IF(G146="","",IF(G146="Fechado ganho","Ganha",IF(G146="Fechado perdido","Perdida","Aberta")))</f>
        <v>Perdida</v>
      </c>
      <c r="N146" s="51" t="n">
        <f aca="false">IF(B146="","",IF(M146="Aberta",DataRef-B146,IF(L146="","",L146-B146)))</f>
        <v>60</v>
      </c>
      <c r="O146" s="50" t="str">
        <f aca="false">IF(M146&lt;&gt;"Aberta","",IF(AND(K146&lt;&gt;"",K146&lt;DataRef),"Previsão vencida",IF(N146&gt;DiasParada,"Parada","")))</f>
        <v/>
      </c>
    </row>
    <row r="147" customFormat="false" ht="15" hidden="false" customHeight="false" outlineLevel="0" collapsed="false">
      <c r="A147" s="44" t="s">
        <v>291</v>
      </c>
      <c r="B147" s="45" t="n">
        <v>46084</v>
      </c>
      <c r="C147" s="46" t="s">
        <v>201</v>
      </c>
      <c r="D147" s="46" t="s">
        <v>127</v>
      </c>
      <c r="E147" s="7" t="str">
        <f aca="false">IF(C147="","",IFERROR(INDEX(cl_Regiao,MATCH(C147,cl_Nome,0)),""))</f>
        <v>Sul</v>
      </c>
      <c r="F147" s="46" t="s">
        <v>122</v>
      </c>
      <c r="G147" s="46" t="s">
        <v>111</v>
      </c>
      <c r="H147" s="47" t="n">
        <v>14800</v>
      </c>
      <c r="I147" s="48" t="n">
        <f aca="false">IF(G147="","",IFERROR(INDEX(pr_Prob,MATCH(G147,pr_Etapa,0)),0))</f>
        <v>0</v>
      </c>
      <c r="J147" s="49" t="n">
        <f aca="false">IF(H147="","",H147*I147)</f>
        <v>0</v>
      </c>
      <c r="K147" s="45"/>
      <c r="L147" s="45" t="n">
        <v>46152</v>
      </c>
      <c r="M147" s="50" t="str">
        <f aca="false">IF(G147="","",IF(G147="Fechado ganho","Ganha",IF(G147="Fechado perdido","Perdida","Aberta")))</f>
        <v>Perdida</v>
      </c>
      <c r="N147" s="51" t="n">
        <f aca="false">IF(B147="","",IF(M147="Aberta",DataRef-B147,IF(L147="","",L147-B147)))</f>
        <v>68</v>
      </c>
      <c r="O147" s="50" t="str">
        <f aca="false">IF(M147&lt;&gt;"Aberta","",IF(AND(K147&lt;&gt;"",K147&lt;DataRef),"Previsão vencida",IF(N147&gt;DiasParada,"Parada","")))</f>
        <v/>
      </c>
    </row>
    <row r="148" customFormat="false" ht="15" hidden="false" customHeight="false" outlineLevel="0" collapsed="false">
      <c r="A148" s="44" t="s">
        <v>292</v>
      </c>
      <c r="B148" s="45" t="n">
        <v>46086</v>
      </c>
      <c r="C148" s="46" t="s">
        <v>141</v>
      </c>
      <c r="D148" s="46" t="s">
        <v>109</v>
      </c>
      <c r="E148" s="7" t="str">
        <f aca="false">IF(C148="","",IFERROR(INDEX(cl_Regiao,MATCH(C148,cl_Nome,0)),""))</f>
        <v>Sudeste</v>
      </c>
      <c r="F148" s="46" t="s">
        <v>128</v>
      </c>
      <c r="G148" s="46" t="s">
        <v>111</v>
      </c>
      <c r="H148" s="47" t="n">
        <v>14400</v>
      </c>
      <c r="I148" s="48" t="n">
        <f aca="false">IF(G148="","",IFERROR(INDEX(pr_Prob,MATCH(G148,pr_Etapa,0)),0))</f>
        <v>0</v>
      </c>
      <c r="J148" s="49" t="n">
        <f aca="false">IF(H148="","",H148*I148)</f>
        <v>0</v>
      </c>
      <c r="K148" s="45"/>
      <c r="L148" s="45" t="n">
        <v>46119</v>
      </c>
      <c r="M148" s="50" t="str">
        <f aca="false">IF(G148="","",IF(G148="Fechado ganho","Ganha",IF(G148="Fechado perdido","Perdida","Aberta")))</f>
        <v>Perdida</v>
      </c>
      <c r="N148" s="51" t="n">
        <f aca="false">IF(B148="","",IF(M148="Aberta",DataRef-B148,IF(L148="","",L148-B148)))</f>
        <v>33</v>
      </c>
      <c r="O148" s="50" t="str">
        <f aca="false">IF(M148&lt;&gt;"Aberta","",IF(AND(K148&lt;&gt;"",K148&lt;DataRef),"Previsão vencida",IF(N148&gt;DiasParada,"Parada","")))</f>
        <v/>
      </c>
    </row>
    <row r="149" customFormat="false" ht="15" hidden="false" customHeight="false" outlineLevel="0" collapsed="false">
      <c r="A149" s="44" t="s">
        <v>293</v>
      </c>
      <c r="B149" s="45" t="n">
        <v>46089</v>
      </c>
      <c r="C149" s="46" t="s">
        <v>175</v>
      </c>
      <c r="D149" s="46" t="s">
        <v>114</v>
      </c>
      <c r="E149" s="7" t="str">
        <f aca="false">IF(C149="","",IFERROR(INDEX(cl_Regiao,MATCH(C149,cl_Nome,0)),""))</f>
        <v>Norte</v>
      </c>
      <c r="F149" s="46" t="s">
        <v>110</v>
      </c>
      <c r="G149" s="46" t="s">
        <v>111</v>
      </c>
      <c r="H149" s="47" t="n">
        <v>6500</v>
      </c>
      <c r="I149" s="48" t="n">
        <f aca="false">IF(G149="","",IFERROR(INDEX(pr_Prob,MATCH(G149,pr_Etapa,0)),0))</f>
        <v>0</v>
      </c>
      <c r="J149" s="49" t="n">
        <f aca="false">IF(H149="","",H149*I149)</f>
        <v>0</v>
      </c>
      <c r="K149" s="45"/>
      <c r="L149" s="45" t="n">
        <v>46162</v>
      </c>
      <c r="M149" s="50" t="str">
        <f aca="false">IF(G149="","",IF(G149="Fechado ganho","Ganha",IF(G149="Fechado perdido","Perdida","Aberta")))</f>
        <v>Perdida</v>
      </c>
      <c r="N149" s="51" t="n">
        <f aca="false">IF(B149="","",IF(M149="Aberta",DataRef-B149,IF(L149="","",L149-B149)))</f>
        <v>73</v>
      </c>
      <c r="O149" s="50" t="str">
        <f aca="false">IF(M149&lt;&gt;"Aberta","",IF(AND(K149&lt;&gt;"",K149&lt;DataRef),"Previsão vencida",IF(N149&gt;DiasParada,"Parada","")))</f>
        <v/>
      </c>
    </row>
    <row r="150" customFormat="false" ht="15" hidden="false" customHeight="false" outlineLevel="0" collapsed="false">
      <c r="A150" s="44" t="s">
        <v>294</v>
      </c>
      <c r="B150" s="45" t="n">
        <v>46090</v>
      </c>
      <c r="C150" s="46" t="s">
        <v>135</v>
      </c>
      <c r="D150" s="46" t="s">
        <v>119</v>
      </c>
      <c r="E150" s="7" t="str">
        <f aca="false">IF(C150="","",IFERROR(INDEX(cl_Regiao,MATCH(C150,cl_Nome,0)),""))</f>
        <v>Sudeste</v>
      </c>
      <c r="F150" s="46" t="s">
        <v>110</v>
      </c>
      <c r="G150" s="46" t="s">
        <v>111</v>
      </c>
      <c r="H150" s="47" t="n">
        <v>5700</v>
      </c>
      <c r="I150" s="48" t="n">
        <f aca="false">IF(G150="","",IFERROR(INDEX(pr_Prob,MATCH(G150,pr_Etapa,0)),0))</f>
        <v>0</v>
      </c>
      <c r="J150" s="49" t="n">
        <f aca="false">IF(H150="","",H150*I150)</f>
        <v>0</v>
      </c>
      <c r="K150" s="45"/>
      <c r="L150" s="45" t="n">
        <v>46121</v>
      </c>
      <c r="M150" s="50" t="str">
        <f aca="false">IF(G150="","",IF(G150="Fechado ganho","Ganha",IF(G150="Fechado perdido","Perdida","Aberta")))</f>
        <v>Perdida</v>
      </c>
      <c r="N150" s="51" t="n">
        <f aca="false">IF(B150="","",IF(M150="Aberta",DataRef-B150,IF(L150="","",L150-B150)))</f>
        <v>31</v>
      </c>
      <c r="O150" s="50" t="str">
        <f aca="false">IF(M150&lt;&gt;"Aberta","",IF(AND(K150&lt;&gt;"",K150&lt;DataRef),"Previsão vencida",IF(N150&gt;DiasParada,"Parada","")))</f>
        <v/>
      </c>
    </row>
    <row r="151" customFormat="false" ht="15" hidden="false" customHeight="false" outlineLevel="0" collapsed="false">
      <c r="A151" s="44" t="s">
        <v>295</v>
      </c>
      <c r="B151" s="45" t="n">
        <v>46090</v>
      </c>
      <c r="C151" s="46" t="s">
        <v>201</v>
      </c>
      <c r="D151" s="46" t="s">
        <v>127</v>
      </c>
      <c r="E151" s="7" t="str">
        <f aca="false">IF(C151="","",IFERROR(INDEX(cl_Regiao,MATCH(C151,cl_Nome,0)),""))</f>
        <v>Sul</v>
      </c>
      <c r="F151" s="46" t="s">
        <v>122</v>
      </c>
      <c r="G151" s="46" t="s">
        <v>111</v>
      </c>
      <c r="H151" s="47" t="n">
        <v>2400</v>
      </c>
      <c r="I151" s="48" t="n">
        <f aca="false">IF(G151="","",IFERROR(INDEX(pr_Prob,MATCH(G151,pr_Etapa,0)),0))</f>
        <v>0</v>
      </c>
      <c r="J151" s="49" t="n">
        <f aca="false">IF(H151="","",H151*I151)</f>
        <v>0</v>
      </c>
      <c r="K151" s="45"/>
      <c r="L151" s="45" t="n">
        <v>46134</v>
      </c>
      <c r="M151" s="50" t="str">
        <f aca="false">IF(G151="","",IF(G151="Fechado ganho","Ganha",IF(G151="Fechado perdido","Perdida","Aberta")))</f>
        <v>Perdida</v>
      </c>
      <c r="N151" s="51" t="n">
        <f aca="false">IF(B151="","",IF(M151="Aberta",DataRef-B151,IF(L151="","",L151-B151)))</f>
        <v>44</v>
      </c>
      <c r="O151" s="50" t="str">
        <f aca="false">IF(M151&lt;&gt;"Aberta","",IF(AND(K151&lt;&gt;"",K151&lt;DataRef),"Previsão vencida",IF(N151&gt;DiasParada,"Parada","")))</f>
        <v/>
      </c>
    </row>
    <row r="152" customFormat="false" ht="15" hidden="false" customHeight="false" outlineLevel="0" collapsed="false">
      <c r="A152" s="44" t="s">
        <v>296</v>
      </c>
      <c r="B152" s="45" t="n">
        <v>46090</v>
      </c>
      <c r="C152" s="46" t="s">
        <v>236</v>
      </c>
      <c r="D152" s="46" t="s">
        <v>165</v>
      </c>
      <c r="E152" s="7" t="str">
        <f aca="false">IF(C152="","",IFERROR(INDEX(cl_Regiao,MATCH(C152,cl_Nome,0)),""))</f>
        <v>Nordeste</v>
      </c>
      <c r="F152" s="46" t="s">
        <v>122</v>
      </c>
      <c r="G152" s="46" t="s">
        <v>111</v>
      </c>
      <c r="H152" s="47" t="n">
        <v>16700</v>
      </c>
      <c r="I152" s="48" t="n">
        <f aca="false">IF(G152="","",IFERROR(INDEX(pr_Prob,MATCH(G152,pr_Etapa,0)),0))</f>
        <v>0</v>
      </c>
      <c r="J152" s="49" t="n">
        <f aca="false">IF(H152="","",H152*I152)</f>
        <v>0</v>
      </c>
      <c r="K152" s="45"/>
      <c r="L152" s="45" t="n">
        <v>46166</v>
      </c>
      <c r="M152" s="50" t="str">
        <f aca="false">IF(G152="","",IF(G152="Fechado ganho","Ganha",IF(G152="Fechado perdido","Perdida","Aberta")))</f>
        <v>Perdida</v>
      </c>
      <c r="N152" s="51" t="n">
        <f aca="false">IF(B152="","",IF(M152="Aberta",DataRef-B152,IF(L152="","",L152-B152)))</f>
        <v>76</v>
      </c>
      <c r="O152" s="50" t="str">
        <f aca="false">IF(M152&lt;&gt;"Aberta","",IF(AND(K152&lt;&gt;"",K152&lt;DataRef),"Previsão vencida",IF(N152&gt;DiasParada,"Parada","")))</f>
        <v/>
      </c>
    </row>
    <row r="153" customFormat="false" ht="15" hidden="false" customHeight="false" outlineLevel="0" collapsed="false">
      <c r="A153" s="44" t="s">
        <v>297</v>
      </c>
      <c r="B153" s="45" t="n">
        <v>46092</v>
      </c>
      <c r="C153" s="46" t="s">
        <v>113</v>
      </c>
      <c r="D153" s="46" t="s">
        <v>114</v>
      </c>
      <c r="E153" s="7" t="str">
        <f aca="false">IF(C153="","",IFERROR(INDEX(cl_Regiao,MATCH(C153,cl_Nome,0)),""))</f>
        <v>Norte</v>
      </c>
      <c r="F153" s="46" t="s">
        <v>115</v>
      </c>
      <c r="G153" s="46" t="s">
        <v>111</v>
      </c>
      <c r="H153" s="47" t="n">
        <v>43200</v>
      </c>
      <c r="I153" s="48" t="n">
        <f aca="false">IF(G153="","",IFERROR(INDEX(pr_Prob,MATCH(G153,pr_Etapa,0)),0))</f>
        <v>0</v>
      </c>
      <c r="J153" s="49" t="n">
        <f aca="false">IF(H153="","",H153*I153)</f>
        <v>0</v>
      </c>
      <c r="K153" s="45"/>
      <c r="L153" s="45" t="n">
        <v>46167</v>
      </c>
      <c r="M153" s="50" t="str">
        <f aca="false">IF(G153="","",IF(G153="Fechado ganho","Ganha",IF(G153="Fechado perdido","Perdida","Aberta")))</f>
        <v>Perdida</v>
      </c>
      <c r="N153" s="51" t="n">
        <f aca="false">IF(B153="","",IF(M153="Aberta",DataRef-B153,IF(L153="","",L153-B153)))</f>
        <v>75</v>
      </c>
      <c r="O153" s="50" t="str">
        <f aca="false">IF(M153&lt;&gt;"Aberta","",IF(AND(K153&lt;&gt;"",K153&lt;DataRef),"Previsão vencida",IF(N153&gt;DiasParada,"Parada","")))</f>
        <v/>
      </c>
    </row>
    <row r="154" customFormat="false" ht="15" hidden="false" customHeight="false" outlineLevel="0" collapsed="false">
      <c r="A154" s="44" t="s">
        <v>298</v>
      </c>
      <c r="B154" s="45" t="n">
        <v>46093</v>
      </c>
      <c r="C154" s="46" t="s">
        <v>162</v>
      </c>
      <c r="D154" s="46" t="s">
        <v>131</v>
      </c>
      <c r="E154" s="7" t="str">
        <f aca="false">IF(C154="","",IFERROR(INDEX(cl_Regiao,MATCH(C154,cl_Nome,0)),""))</f>
        <v>Centro-Oeste</v>
      </c>
      <c r="F154" s="46" t="s">
        <v>128</v>
      </c>
      <c r="G154" s="46" t="s">
        <v>116</v>
      </c>
      <c r="H154" s="47" t="n">
        <v>5000</v>
      </c>
      <c r="I154" s="48" t="n">
        <f aca="false">IF(G154="","",IFERROR(INDEX(pr_Prob,MATCH(G154,pr_Etapa,0)),0))</f>
        <v>1</v>
      </c>
      <c r="J154" s="49" t="n">
        <f aca="false">IF(H154="","",H154*I154)</f>
        <v>5000</v>
      </c>
      <c r="K154" s="45"/>
      <c r="L154" s="45" t="n">
        <v>46137</v>
      </c>
      <c r="M154" s="50" t="str">
        <f aca="false">IF(G154="","",IF(G154="Fechado ganho","Ganha",IF(G154="Fechado perdido","Perdida","Aberta")))</f>
        <v>Ganha</v>
      </c>
      <c r="N154" s="51" t="n">
        <f aca="false">IF(B154="","",IF(M154="Aberta",DataRef-B154,IF(L154="","",L154-B154)))</f>
        <v>44</v>
      </c>
      <c r="O154" s="50" t="str">
        <f aca="false">IF(M154&lt;&gt;"Aberta","",IF(AND(K154&lt;&gt;"",K154&lt;DataRef),"Previsão vencida",IF(N154&gt;DiasParada,"Parada","")))</f>
        <v/>
      </c>
    </row>
    <row r="155" customFormat="false" ht="15" hidden="false" customHeight="false" outlineLevel="0" collapsed="false">
      <c r="A155" s="44" t="s">
        <v>299</v>
      </c>
      <c r="B155" s="45" t="n">
        <v>46094</v>
      </c>
      <c r="C155" s="46" t="s">
        <v>133</v>
      </c>
      <c r="D155" s="46" t="s">
        <v>119</v>
      </c>
      <c r="E155" s="7" t="str">
        <f aca="false">IF(C155="","",IFERROR(INDEX(cl_Regiao,MATCH(C155,cl_Nome,0)),""))</f>
        <v>Sudeste</v>
      </c>
      <c r="F155" s="46" t="s">
        <v>128</v>
      </c>
      <c r="G155" s="46" t="s">
        <v>116</v>
      </c>
      <c r="H155" s="47" t="n">
        <v>19900</v>
      </c>
      <c r="I155" s="48" t="n">
        <f aca="false">IF(G155="","",IFERROR(INDEX(pr_Prob,MATCH(G155,pr_Etapa,0)),0))</f>
        <v>1</v>
      </c>
      <c r="J155" s="49" t="n">
        <f aca="false">IF(H155="","",H155*I155)</f>
        <v>19900</v>
      </c>
      <c r="K155" s="45"/>
      <c r="L155" s="45" t="n">
        <v>46142</v>
      </c>
      <c r="M155" s="50" t="str">
        <f aca="false">IF(G155="","",IF(G155="Fechado ganho","Ganha",IF(G155="Fechado perdido","Perdida","Aberta")))</f>
        <v>Ganha</v>
      </c>
      <c r="N155" s="51" t="n">
        <f aca="false">IF(B155="","",IF(M155="Aberta",DataRef-B155,IF(L155="","",L155-B155)))</f>
        <v>48</v>
      </c>
      <c r="O155" s="50" t="str">
        <f aca="false">IF(M155&lt;&gt;"Aberta","",IF(AND(K155&lt;&gt;"",K155&lt;DataRef),"Previsão vencida",IF(N155&gt;DiasParada,"Parada","")))</f>
        <v/>
      </c>
    </row>
    <row r="156" customFormat="false" ht="15" hidden="false" customHeight="false" outlineLevel="0" collapsed="false">
      <c r="A156" s="44" t="s">
        <v>300</v>
      </c>
      <c r="B156" s="45" t="n">
        <v>46096</v>
      </c>
      <c r="C156" s="46" t="s">
        <v>145</v>
      </c>
      <c r="D156" s="46" t="s">
        <v>114</v>
      </c>
      <c r="E156" s="7" t="str">
        <f aca="false">IF(C156="","",IFERROR(INDEX(cl_Regiao,MATCH(C156,cl_Nome,0)),""))</f>
        <v>Norte</v>
      </c>
      <c r="F156" s="46" t="s">
        <v>110</v>
      </c>
      <c r="G156" s="46" t="s">
        <v>111</v>
      </c>
      <c r="H156" s="47" t="n">
        <v>16700</v>
      </c>
      <c r="I156" s="48" t="n">
        <f aca="false">IF(G156="","",IFERROR(INDEX(pr_Prob,MATCH(G156,pr_Etapa,0)),0))</f>
        <v>0</v>
      </c>
      <c r="J156" s="49" t="n">
        <f aca="false">IF(H156="","",H156*I156)</f>
        <v>0</v>
      </c>
      <c r="K156" s="45"/>
      <c r="L156" s="45" t="n">
        <v>46161</v>
      </c>
      <c r="M156" s="50" t="str">
        <f aca="false">IF(G156="","",IF(G156="Fechado ganho","Ganha",IF(G156="Fechado perdido","Perdida","Aberta")))</f>
        <v>Perdida</v>
      </c>
      <c r="N156" s="51" t="n">
        <f aca="false">IF(B156="","",IF(M156="Aberta",DataRef-B156,IF(L156="","",L156-B156)))</f>
        <v>65</v>
      </c>
      <c r="O156" s="50" t="str">
        <f aca="false">IF(M156&lt;&gt;"Aberta","",IF(AND(K156&lt;&gt;"",K156&lt;DataRef),"Previsão vencida",IF(N156&gt;DiasParada,"Parada","")))</f>
        <v/>
      </c>
    </row>
    <row r="157" customFormat="false" ht="15" hidden="false" customHeight="false" outlineLevel="0" collapsed="false">
      <c r="A157" s="44" t="s">
        <v>301</v>
      </c>
      <c r="B157" s="45" t="n">
        <v>46096</v>
      </c>
      <c r="C157" s="46" t="s">
        <v>108</v>
      </c>
      <c r="D157" s="46" t="s">
        <v>109</v>
      </c>
      <c r="E157" s="7" t="str">
        <f aca="false">IF(C157="","",IFERROR(INDEX(cl_Regiao,MATCH(C157,cl_Nome,0)),""))</f>
        <v>Sudeste</v>
      </c>
      <c r="F157" s="46" t="s">
        <v>128</v>
      </c>
      <c r="G157" s="46" t="s">
        <v>116</v>
      </c>
      <c r="H157" s="47" t="n">
        <v>4500</v>
      </c>
      <c r="I157" s="48" t="n">
        <f aca="false">IF(G157="","",IFERROR(INDEX(pr_Prob,MATCH(G157,pr_Etapa,0)),0))</f>
        <v>1</v>
      </c>
      <c r="J157" s="49" t="n">
        <f aca="false">IF(H157="","",H157*I157)</f>
        <v>4500</v>
      </c>
      <c r="K157" s="45"/>
      <c r="L157" s="45" t="n">
        <v>46114</v>
      </c>
      <c r="M157" s="50" t="str">
        <f aca="false">IF(G157="","",IF(G157="Fechado ganho","Ganha",IF(G157="Fechado perdido","Perdida","Aberta")))</f>
        <v>Ganha</v>
      </c>
      <c r="N157" s="51" t="n">
        <f aca="false">IF(B157="","",IF(M157="Aberta",DataRef-B157,IF(L157="","",L157-B157)))</f>
        <v>18</v>
      </c>
      <c r="O157" s="50" t="str">
        <f aca="false">IF(M157&lt;&gt;"Aberta","",IF(AND(K157&lt;&gt;"",K157&lt;DataRef),"Previsão vencida",IF(N157&gt;DiasParada,"Parada","")))</f>
        <v/>
      </c>
    </row>
    <row r="158" customFormat="false" ht="15" hidden="false" customHeight="false" outlineLevel="0" collapsed="false">
      <c r="A158" s="44" t="s">
        <v>302</v>
      </c>
      <c r="B158" s="45" t="n">
        <v>46098</v>
      </c>
      <c r="C158" s="46" t="s">
        <v>201</v>
      </c>
      <c r="D158" s="46" t="s">
        <v>127</v>
      </c>
      <c r="E158" s="7" t="str">
        <f aca="false">IF(C158="","",IFERROR(INDEX(cl_Regiao,MATCH(C158,cl_Nome,0)),""))</f>
        <v>Sul</v>
      </c>
      <c r="F158" s="46" t="s">
        <v>115</v>
      </c>
      <c r="G158" s="46" t="s">
        <v>116</v>
      </c>
      <c r="H158" s="47" t="n">
        <v>46200</v>
      </c>
      <c r="I158" s="48" t="n">
        <f aca="false">IF(G158="","",IFERROR(INDEX(pr_Prob,MATCH(G158,pr_Etapa,0)),0))</f>
        <v>1</v>
      </c>
      <c r="J158" s="49" t="n">
        <f aca="false">IF(H158="","",H158*I158)</f>
        <v>46200</v>
      </c>
      <c r="K158" s="45"/>
      <c r="L158" s="45" t="n">
        <v>46170</v>
      </c>
      <c r="M158" s="50" t="str">
        <f aca="false">IF(G158="","",IF(G158="Fechado ganho","Ganha",IF(G158="Fechado perdido","Perdida","Aberta")))</f>
        <v>Ganha</v>
      </c>
      <c r="N158" s="51" t="n">
        <f aca="false">IF(B158="","",IF(M158="Aberta",DataRef-B158,IF(L158="","",L158-B158)))</f>
        <v>72</v>
      </c>
      <c r="O158" s="50" t="str">
        <f aca="false">IF(M158&lt;&gt;"Aberta","",IF(AND(K158&lt;&gt;"",K158&lt;DataRef),"Previsão vencida",IF(N158&gt;DiasParada,"Parada","")))</f>
        <v/>
      </c>
    </row>
    <row r="159" customFormat="false" ht="15" hidden="false" customHeight="false" outlineLevel="0" collapsed="false">
      <c r="A159" s="44" t="s">
        <v>303</v>
      </c>
      <c r="B159" s="45" t="n">
        <v>46099</v>
      </c>
      <c r="C159" s="46" t="s">
        <v>175</v>
      </c>
      <c r="D159" s="46" t="s">
        <v>114</v>
      </c>
      <c r="E159" s="7" t="str">
        <f aca="false">IF(C159="","",IFERROR(INDEX(cl_Regiao,MATCH(C159,cl_Nome,0)),""))</f>
        <v>Norte</v>
      </c>
      <c r="F159" s="46" t="s">
        <v>128</v>
      </c>
      <c r="G159" s="46" t="s">
        <v>111</v>
      </c>
      <c r="H159" s="47" t="n">
        <v>28600</v>
      </c>
      <c r="I159" s="48" t="n">
        <f aca="false">IF(G159="","",IFERROR(INDEX(pr_Prob,MATCH(G159,pr_Etapa,0)),0))</f>
        <v>0</v>
      </c>
      <c r="J159" s="49" t="n">
        <f aca="false">IF(H159="","",H159*I159)</f>
        <v>0</v>
      </c>
      <c r="K159" s="45"/>
      <c r="L159" s="45" t="n">
        <v>46174</v>
      </c>
      <c r="M159" s="50" t="str">
        <f aca="false">IF(G159="","",IF(G159="Fechado ganho","Ganha",IF(G159="Fechado perdido","Perdida","Aberta")))</f>
        <v>Perdida</v>
      </c>
      <c r="N159" s="51" t="n">
        <f aca="false">IF(B159="","",IF(M159="Aberta",DataRef-B159,IF(L159="","",L159-B159)))</f>
        <v>75</v>
      </c>
      <c r="O159" s="50" t="str">
        <f aca="false">IF(M159&lt;&gt;"Aberta","",IF(AND(K159&lt;&gt;"",K159&lt;DataRef),"Previsão vencida",IF(N159&gt;DiasParada,"Parada","")))</f>
        <v/>
      </c>
    </row>
    <row r="160" customFormat="false" ht="15" hidden="false" customHeight="false" outlineLevel="0" collapsed="false">
      <c r="A160" s="44" t="s">
        <v>304</v>
      </c>
      <c r="B160" s="45" t="n">
        <v>46100</v>
      </c>
      <c r="C160" s="46" t="s">
        <v>126</v>
      </c>
      <c r="D160" s="46" t="s">
        <v>127</v>
      </c>
      <c r="E160" s="7" t="str">
        <f aca="false">IF(C160="","",IFERROR(INDEX(cl_Regiao,MATCH(C160,cl_Nome,0)),""))</f>
        <v>Sul</v>
      </c>
      <c r="F160" s="46" t="s">
        <v>110</v>
      </c>
      <c r="G160" s="46" t="s">
        <v>116</v>
      </c>
      <c r="H160" s="47" t="n">
        <v>11800</v>
      </c>
      <c r="I160" s="48" t="n">
        <f aca="false">IF(G160="","",IFERROR(INDEX(pr_Prob,MATCH(G160,pr_Etapa,0)),0))</f>
        <v>1</v>
      </c>
      <c r="J160" s="49" t="n">
        <f aca="false">IF(H160="","",H160*I160)</f>
        <v>11800</v>
      </c>
      <c r="K160" s="45"/>
      <c r="L160" s="45" t="n">
        <v>46122</v>
      </c>
      <c r="M160" s="50" t="str">
        <f aca="false">IF(G160="","",IF(G160="Fechado ganho","Ganha",IF(G160="Fechado perdido","Perdida","Aberta")))</f>
        <v>Ganha</v>
      </c>
      <c r="N160" s="51" t="n">
        <f aca="false">IF(B160="","",IF(M160="Aberta",DataRef-B160,IF(L160="","",L160-B160)))</f>
        <v>22</v>
      </c>
      <c r="O160" s="50" t="str">
        <f aca="false">IF(M160&lt;&gt;"Aberta","",IF(AND(K160&lt;&gt;"",K160&lt;DataRef),"Previsão vencida",IF(N160&gt;DiasParada,"Parada","")))</f>
        <v/>
      </c>
    </row>
    <row r="161" customFormat="false" ht="15" hidden="false" customHeight="false" outlineLevel="0" collapsed="false">
      <c r="A161" s="44" t="s">
        <v>305</v>
      </c>
      <c r="B161" s="45" t="n">
        <v>46103</v>
      </c>
      <c r="C161" s="46" t="s">
        <v>158</v>
      </c>
      <c r="D161" s="46" t="s">
        <v>131</v>
      </c>
      <c r="E161" s="7" t="str">
        <f aca="false">IF(C161="","",IFERROR(INDEX(cl_Regiao,MATCH(C161,cl_Nome,0)),""))</f>
        <v>Centro-Oeste</v>
      </c>
      <c r="F161" s="46" t="s">
        <v>122</v>
      </c>
      <c r="G161" s="46" t="s">
        <v>111</v>
      </c>
      <c r="H161" s="47" t="n">
        <v>2800</v>
      </c>
      <c r="I161" s="48" t="n">
        <f aca="false">IF(G161="","",IFERROR(INDEX(pr_Prob,MATCH(G161,pr_Etapa,0)),0))</f>
        <v>0</v>
      </c>
      <c r="J161" s="49" t="n">
        <f aca="false">IF(H161="","",H161*I161)</f>
        <v>0</v>
      </c>
      <c r="K161" s="45"/>
      <c r="L161" s="45" t="n">
        <v>46163</v>
      </c>
      <c r="M161" s="50" t="str">
        <f aca="false">IF(G161="","",IF(G161="Fechado ganho","Ganha",IF(G161="Fechado perdido","Perdida","Aberta")))</f>
        <v>Perdida</v>
      </c>
      <c r="N161" s="51" t="n">
        <f aca="false">IF(B161="","",IF(M161="Aberta",DataRef-B161,IF(L161="","",L161-B161)))</f>
        <v>60</v>
      </c>
      <c r="O161" s="50" t="str">
        <f aca="false">IF(M161&lt;&gt;"Aberta","",IF(AND(K161&lt;&gt;"",K161&lt;DataRef),"Previsão vencida",IF(N161&gt;DiasParada,"Parada","")))</f>
        <v/>
      </c>
    </row>
    <row r="162" customFormat="false" ht="15" hidden="false" customHeight="false" outlineLevel="0" collapsed="false">
      <c r="A162" s="44" t="s">
        <v>306</v>
      </c>
      <c r="B162" s="45" t="n">
        <v>46103</v>
      </c>
      <c r="C162" s="46" t="s">
        <v>207</v>
      </c>
      <c r="D162" s="46" t="s">
        <v>165</v>
      </c>
      <c r="E162" s="7" t="str">
        <f aca="false">IF(C162="","",IFERROR(INDEX(cl_Regiao,MATCH(C162,cl_Nome,0)),""))</f>
        <v>Nordeste</v>
      </c>
      <c r="F162" s="46" t="s">
        <v>110</v>
      </c>
      <c r="G162" s="46" t="s">
        <v>116</v>
      </c>
      <c r="H162" s="47" t="n">
        <v>4900</v>
      </c>
      <c r="I162" s="48" t="n">
        <f aca="false">IF(G162="","",IFERROR(INDEX(pr_Prob,MATCH(G162,pr_Etapa,0)),0))</f>
        <v>1</v>
      </c>
      <c r="J162" s="49" t="n">
        <f aca="false">IF(H162="","",H162*I162)</f>
        <v>4900</v>
      </c>
      <c r="K162" s="45"/>
      <c r="L162" s="45" t="n">
        <v>46118</v>
      </c>
      <c r="M162" s="50" t="str">
        <f aca="false">IF(G162="","",IF(G162="Fechado ganho","Ganha",IF(G162="Fechado perdido","Perdida","Aberta")))</f>
        <v>Ganha</v>
      </c>
      <c r="N162" s="51" t="n">
        <f aca="false">IF(B162="","",IF(M162="Aberta",DataRef-B162,IF(L162="","",L162-B162)))</f>
        <v>15</v>
      </c>
      <c r="O162" s="50" t="str">
        <f aca="false">IF(M162&lt;&gt;"Aberta","",IF(AND(K162&lt;&gt;"",K162&lt;DataRef),"Previsão vencida",IF(N162&gt;DiasParada,"Parada","")))</f>
        <v/>
      </c>
    </row>
    <row r="163" customFormat="false" ht="15" hidden="false" customHeight="false" outlineLevel="0" collapsed="false">
      <c r="A163" s="44" t="s">
        <v>307</v>
      </c>
      <c r="B163" s="45" t="n">
        <v>46104</v>
      </c>
      <c r="C163" s="46" t="s">
        <v>201</v>
      </c>
      <c r="D163" s="46" t="s">
        <v>127</v>
      </c>
      <c r="E163" s="7" t="str">
        <f aca="false">IF(C163="","",IFERROR(INDEX(cl_Regiao,MATCH(C163,cl_Nome,0)),""))</f>
        <v>Sul</v>
      </c>
      <c r="F163" s="46" t="s">
        <v>122</v>
      </c>
      <c r="G163" s="46" t="s">
        <v>116</v>
      </c>
      <c r="H163" s="47" t="n">
        <v>4300</v>
      </c>
      <c r="I163" s="48" t="n">
        <f aca="false">IF(G163="","",IFERROR(INDEX(pr_Prob,MATCH(G163,pr_Etapa,0)),0))</f>
        <v>1</v>
      </c>
      <c r="J163" s="49" t="n">
        <f aca="false">IF(H163="","",H163*I163)</f>
        <v>4300</v>
      </c>
      <c r="K163" s="45"/>
      <c r="L163" s="45" t="n">
        <v>46123</v>
      </c>
      <c r="M163" s="50" t="str">
        <f aca="false">IF(G163="","",IF(G163="Fechado ganho","Ganha",IF(G163="Fechado perdido","Perdida","Aberta")))</f>
        <v>Ganha</v>
      </c>
      <c r="N163" s="51" t="n">
        <f aca="false">IF(B163="","",IF(M163="Aberta",DataRef-B163,IF(L163="","",L163-B163)))</f>
        <v>19</v>
      </c>
      <c r="O163" s="50" t="str">
        <f aca="false">IF(M163&lt;&gt;"Aberta","",IF(AND(K163&lt;&gt;"",K163&lt;DataRef),"Previsão vencida",IF(N163&gt;DiasParada,"Parada","")))</f>
        <v/>
      </c>
    </row>
    <row r="164" customFormat="false" ht="15" hidden="false" customHeight="false" outlineLevel="0" collapsed="false">
      <c r="A164" s="44" t="s">
        <v>308</v>
      </c>
      <c r="B164" s="45" t="n">
        <v>46106</v>
      </c>
      <c r="C164" s="46" t="s">
        <v>135</v>
      </c>
      <c r="D164" s="46" t="s">
        <v>119</v>
      </c>
      <c r="E164" s="7" t="str">
        <f aca="false">IF(C164="","",IFERROR(INDEX(cl_Regiao,MATCH(C164,cl_Nome,0)),""))</f>
        <v>Sudeste</v>
      </c>
      <c r="F164" s="46" t="s">
        <v>122</v>
      </c>
      <c r="G164" s="46" t="s">
        <v>116</v>
      </c>
      <c r="H164" s="47" t="n">
        <v>5200</v>
      </c>
      <c r="I164" s="48" t="n">
        <f aca="false">IF(G164="","",IFERROR(INDEX(pr_Prob,MATCH(G164,pr_Etapa,0)),0))</f>
        <v>1</v>
      </c>
      <c r="J164" s="49" t="n">
        <f aca="false">IF(H164="","",H164*I164)</f>
        <v>5200</v>
      </c>
      <c r="K164" s="45"/>
      <c r="L164" s="45" t="n">
        <v>46130</v>
      </c>
      <c r="M164" s="50" t="str">
        <f aca="false">IF(G164="","",IF(G164="Fechado ganho","Ganha",IF(G164="Fechado perdido","Perdida","Aberta")))</f>
        <v>Ganha</v>
      </c>
      <c r="N164" s="51" t="n">
        <f aca="false">IF(B164="","",IF(M164="Aberta",DataRef-B164,IF(L164="","",L164-B164)))</f>
        <v>24</v>
      </c>
      <c r="O164" s="50" t="str">
        <f aca="false">IF(M164&lt;&gt;"Aberta","",IF(AND(K164&lt;&gt;"",K164&lt;DataRef),"Previsão vencida",IF(N164&gt;DiasParada,"Parada","")))</f>
        <v/>
      </c>
    </row>
    <row r="165" customFormat="false" ht="15" hidden="false" customHeight="false" outlineLevel="0" collapsed="false">
      <c r="A165" s="44" t="s">
        <v>309</v>
      </c>
      <c r="B165" s="45" t="n">
        <v>46107</v>
      </c>
      <c r="C165" s="46" t="s">
        <v>164</v>
      </c>
      <c r="D165" s="46" t="s">
        <v>165</v>
      </c>
      <c r="E165" s="7" t="str">
        <f aca="false">IF(C165="","",IFERROR(INDEX(cl_Regiao,MATCH(C165,cl_Nome,0)),""))</f>
        <v>Nordeste</v>
      </c>
      <c r="F165" s="46" t="s">
        <v>115</v>
      </c>
      <c r="G165" s="46" t="s">
        <v>116</v>
      </c>
      <c r="H165" s="47" t="n">
        <v>15500</v>
      </c>
      <c r="I165" s="48" t="n">
        <f aca="false">IF(G165="","",IFERROR(INDEX(pr_Prob,MATCH(G165,pr_Etapa,0)),0))</f>
        <v>1</v>
      </c>
      <c r="J165" s="49" t="n">
        <f aca="false">IF(H165="","",H165*I165)</f>
        <v>15500</v>
      </c>
      <c r="K165" s="45"/>
      <c r="L165" s="45" t="n">
        <v>46165</v>
      </c>
      <c r="M165" s="50" t="str">
        <f aca="false">IF(G165="","",IF(G165="Fechado ganho","Ganha",IF(G165="Fechado perdido","Perdida","Aberta")))</f>
        <v>Ganha</v>
      </c>
      <c r="N165" s="51" t="n">
        <f aca="false">IF(B165="","",IF(M165="Aberta",DataRef-B165,IF(L165="","",L165-B165)))</f>
        <v>58</v>
      </c>
      <c r="O165" s="50" t="str">
        <f aca="false">IF(M165&lt;&gt;"Aberta","",IF(AND(K165&lt;&gt;"",K165&lt;DataRef),"Previsão vencida",IF(N165&gt;DiasParada,"Parada","")))</f>
        <v/>
      </c>
    </row>
    <row r="166" customFormat="false" ht="15" hidden="false" customHeight="false" outlineLevel="0" collapsed="false">
      <c r="A166" s="44" t="s">
        <v>310</v>
      </c>
      <c r="B166" s="45" t="n">
        <v>46108</v>
      </c>
      <c r="C166" s="46" t="s">
        <v>182</v>
      </c>
      <c r="D166" s="46" t="s">
        <v>109</v>
      </c>
      <c r="E166" s="7" t="str">
        <f aca="false">IF(C166="","",IFERROR(INDEX(cl_Regiao,MATCH(C166,cl_Nome,0)),""))</f>
        <v>Sudeste</v>
      </c>
      <c r="F166" s="46" t="s">
        <v>128</v>
      </c>
      <c r="G166" s="46" t="s">
        <v>111</v>
      </c>
      <c r="H166" s="47" t="n">
        <v>12400</v>
      </c>
      <c r="I166" s="48" t="n">
        <f aca="false">IF(G166="","",IFERROR(INDEX(pr_Prob,MATCH(G166,pr_Etapa,0)),0))</f>
        <v>0</v>
      </c>
      <c r="J166" s="49" t="n">
        <f aca="false">IF(H166="","",H166*I166)</f>
        <v>0</v>
      </c>
      <c r="K166" s="45"/>
      <c r="L166" s="45" t="n">
        <v>46150</v>
      </c>
      <c r="M166" s="50" t="str">
        <f aca="false">IF(G166="","",IF(G166="Fechado ganho","Ganha",IF(G166="Fechado perdido","Perdida","Aberta")))</f>
        <v>Perdida</v>
      </c>
      <c r="N166" s="51" t="n">
        <f aca="false">IF(B166="","",IF(M166="Aberta",DataRef-B166,IF(L166="","",L166-B166)))</f>
        <v>42</v>
      </c>
      <c r="O166" s="50" t="str">
        <f aca="false">IF(M166&lt;&gt;"Aberta","",IF(AND(K166&lt;&gt;"",K166&lt;DataRef),"Previsão vencida",IF(N166&gt;DiasParada,"Parada","")))</f>
        <v/>
      </c>
    </row>
    <row r="167" customFormat="false" ht="15" hidden="false" customHeight="false" outlineLevel="0" collapsed="false">
      <c r="A167" s="44" t="s">
        <v>311</v>
      </c>
      <c r="B167" s="45" t="n">
        <v>46108</v>
      </c>
      <c r="C167" s="46" t="s">
        <v>121</v>
      </c>
      <c r="D167" s="46" t="s">
        <v>119</v>
      </c>
      <c r="E167" s="7" t="str">
        <f aca="false">IF(C167="","",IFERROR(INDEX(cl_Regiao,MATCH(C167,cl_Nome,0)),""))</f>
        <v>Sudeste</v>
      </c>
      <c r="F167" s="46" t="s">
        <v>110</v>
      </c>
      <c r="G167" s="46" t="s">
        <v>111</v>
      </c>
      <c r="H167" s="47" t="n">
        <v>5000</v>
      </c>
      <c r="I167" s="48" t="n">
        <f aca="false">IF(G167="","",IFERROR(INDEX(pr_Prob,MATCH(G167,pr_Etapa,0)),0))</f>
        <v>0</v>
      </c>
      <c r="J167" s="49" t="n">
        <f aca="false">IF(H167="","",H167*I167)</f>
        <v>0</v>
      </c>
      <c r="K167" s="45"/>
      <c r="L167" s="45" t="n">
        <v>46158</v>
      </c>
      <c r="M167" s="50" t="str">
        <f aca="false">IF(G167="","",IF(G167="Fechado ganho","Ganha",IF(G167="Fechado perdido","Perdida","Aberta")))</f>
        <v>Perdida</v>
      </c>
      <c r="N167" s="51" t="n">
        <f aca="false">IF(B167="","",IF(M167="Aberta",DataRef-B167,IF(L167="","",L167-B167)))</f>
        <v>50</v>
      </c>
      <c r="O167" s="50" t="str">
        <f aca="false">IF(M167&lt;&gt;"Aberta","",IF(AND(K167&lt;&gt;"",K167&lt;DataRef),"Previsão vencida",IF(N167&gt;DiasParada,"Parada","")))</f>
        <v/>
      </c>
    </row>
    <row r="168" customFormat="false" ht="15" hidden="false" customHeight="false" outlineLevel="0" collapsed="false">
      <c r="A168" s="44" t="s">
        <v>312</v>
      </c>
      <c r="B168" s="45" t="n">
        <v>46109</v>
      </c>
      <c r="C168" s="46" t="s">
        <v>192</v>
      </c>
      <c r="D168" s="46" t="s">
        <v>119</v>
      </c>
      <c r="E168" s="7" t="str">
        <f aca="false">IF(C168="","",IFERROR(INDEX(cl_Regiao,MATCH(C168,cl_Nome,0)),""))</f>
        <v>Sudeste</v>
      </c>
      <c r="F168" s="46" t="s">
        <v>128</v>
      </c>
      <c r="G168" s="46" t="s">
        <v>116</v>
      </c>
      <c r="H168" s="47" t="n">
        <v>6300</v>
      </c>
      <c r="I168" s="48" t="n">
        <f aca="false">IF(G168="","",IFERROR(INDEX(pr_Prob,MATCH(G168,pr_Etapa,0)),0))</f>
        <v>1</v>
      </c>
      <c r="J168" s="49" t="n">
        <f aca="false">IF(H168="","",H168*I168)</f>
        <v>6300</v>
      </c>
      <c r="K168" s="45"/>
      <c r="L168" s="45" t="n">
        <v>46164</v>
      </c>
      <c r="M168" s="50" t="str">
        <f aca="false">IF(G168="","",IF(G168="Fechado ganho","Ganha",IF(G168="Fechado perdido","Perdida","Aberta")))</f>
        <v>Ganha</v>
      </c>
      <c r="N168" s="51" t="n">
        <f aca="false">IF(B168="","",IF(M168="Aberta",DataRef-B168,IF(L168="","",L168-B168)))</f>
        <v>55</v>
      </c>
      <c r="O168" s="50" t="str">
        <f aca="false">IF(M168&lt;&gt;"Aberta","",IF(AND(K168&lt;&gt;"",K168&lt;DataRef),"Previsão vencida",IF(N168&gt;DiasParada,"Parada","")))</f>
        <v/>
      </c>
    </row>
    <row r="169" customFormat="false" ht="15" hidden="false" customHeight="false" outlineLevel="0" collapsed="false">
      <c r="A169" s="44" t="s">
        <v>313</v>
      </c>
      <c r="B169" s="45" t="n">
        <v>46109</v>
      </c>
      <c r="C169" s="46" t="s">
        <v>155</v>
      </c>
      <c r="D169" s="46" t="s">
        <v>127</v>
      </c>
      <c r="E169" s="7" t="str">
        <f aca="false">IF(C169="","",IFERROR(INDEX(cl_Regiao,MATCH(C169,cl_Nome,0)),""))</f>
        <v>Sul</v>
      </c>
      <c r="F169" s="46" t="s">
        <v>122</v>
      </c>
      <c r="G169" s="46" t="s">
        <v>116</v>
      </c>
      <c r="H169" s="47" t="n">
        <v>4800</v>
      </c>
      <c r="I169" s="48" t="n">
        <f aca="false">IF(G169="","",IFERROR(INDEX(pr_Prob,MATCH(G169,pr_Etapa,0)),0))</f>
        <v>1</v>
      </c>
      <c r="J169" s="49" t="n">
        <f aca="false">IF(H169="","",H169*I169)</f>
        <v>4800</v>
      </c>
      <c r="K169" s="45"/>
      <c r="L169" s="45" t="n">
        <v>46169</v>
      </c>
      <c r="M169" s="50" t="str">
        <f aca="false">IF(G169="","",IF(G169="Fechado ganho","Ganha",IF(G169="Fechado perdido","Perdida","Aberta")))</f>
        <v>Ganha</v>
      </c>
      <c r="N169" s="51" t="n">
        <f aca="false">IF(B169="","",IF(M169="Aberta",DataRef-B169,IF(L169="","",L169-B169)))</f>
        <v>60</v>
      </c>
      <c r="O169" s="50" t="str">
        <f aca="false">IF(M169&lt;&gt;"Aberta","",IF(AND(K169&lt;&gt;"",K169&lt;DataRef),"Previsão vencida",IF(N169&gt;DiasParada,"Parada","")))</f>
        <v/>
      </c>
    </row>
    <row r="170" customFormat="false" ht="15" hidden="false" customHeight="false" outlineLevel="0" collapsed="false">
      <c r="A170" s="44" t="s">
        <v>314</v>
      </c>
      <c r="B170" s="45" t="n">
        <v>46110</v>
      </c>
      <c r="C170" s="46" t="s">
        <v>118</v>
      </c>
      <c r="D170" s="46" t="s">
        <v>119</v>
      </c>
      <c r="E170" s="7" t="str">
        <f aca="false">IF(C170="","",IFERROR(INDEX(cl_Regiao,MATCH(C170,cl_Nome,0)),""))</f>
        <v>Sudeste</v>
      </c>
      <c r="F170" s="46" t="s">
        <v>122</v>
      </c>
      <c r="G170" s="46" t="s">
        <v>111</v>
      </c>
      <c r="H170" s="47" t="n">
        <v>14000</v>
      </c>
      <c r="I170" s="48" t="n">
        <f aca="false">IF(G170="","",IFERROR(INDEX(pr_Prob,MATCH(G170,pr_Etapa,0)),0))</f>
        <v>0</v>
      </c>
      <c r="J170" s="49" t="n">
        <f aca="false">IF(H170="","",H170*I170)</f>
        <v>0</v>
      </c>
      <c r="K170" s="45"/>
      <c r="L170" s="45" t="n">
        <v>46126</v>
      </c>
      <c r="M170" s="50" t="str">
        <f aca="false">IF(G170="","",IF(G170="Fechado ganho","Ganha",IF(G170="Fechado perdido","Perdida","Aberta")))</f>
        <v>Perdida</v>
      </c>
      <c r="N170" s="51" t="n">
        <f aca="false">IF(B170="","",IF(M170="Aberta",DataRef-B170,IF(L170="","",L170-B170)))</f>
        <v>16</v>
      </c>
      <c r="O170" s="50" t="str">
        <f aca="false">IF(M170&lt;&gt;"Aberta","",IF(AND(K170&lt;&gt;"",K170&lt;DataRef),"Previsão vencida",IF(N170&gt;DiasParada,"Parada","")))</f>
        <v/>
      </c>
    </row>
    <row r="171" customFormat="false" ht="15" hidden="false" customHeight="false" outlineLevel="0" collapsed="false">
      <c r="A171" s="44" t="s">
        <v>315</v>
      </c>
      <c r="B171" s="45" t="n">
        <v>46111</v>
      </c>
      <c r="C171" s="46" t="s">
        <v>153</v>
      </c>
      <c r="D171" s="46" t="s">
        <v>131</v>
      </c>
      <c r="E171" s="7" t="str">
        <f aca="false">IF(C171="","",IFERROR(INDEX(cl_Regiao,MATCH(C171,cl_Nome,0)),""))</f>
        <v>Centro-Oeste</v>
      </c>
      <c r="F171" s="46" t="s">
        <v>115</v>
      </c>
      <c r="G171" s="46" t="s">
        <v>116</v>
      </c>
      <c r="H171" s="47" t="n">
        <v>6400</v>
      </c>
      <c r="I171" s="48" t="n">
        <f aca="false">IF(G171="","",IFERROR(INDEX(pr_Prob,MATCH(G171,pr_Etapa,0)),0))</f>
        <v>1</v>
      </c>
      <c r="J171" s="49" t="n">
        <f aca="false">IF(H171="","",H171*I171)</f>
        <v>6400</v>
      </c>
      <c r="K171" s="45"/>
      <c r="L171" s="45" t="n">
        <v>46145</v>
      </c>
      <c r="M171" s="50" t="str">
        <f aca="false">IF(G171="","",IF(G171="Fechado ganho","Ganha",IF(G171="Fechado perdido","Perdida","Aberta")))</f>
        <v>Ganha</v>
      </c>
      <c r="N171" s="51" t="n">
        <f aca="false">IF(B171="","",IF(M171="Aberta",DataRef-B171,IF(L171="","",L171-B171)))</f>
        <v>34</v>
      </c>
      <c r="O171" s="50" t="str">
        <f aca="false">IF(M171&lt;&gt;"Aberta","",IF(AND(K171&lt;&gt;"",K171&lt;DataRef),"Previsão vencida",IF(N171&gt;DiasParada,"Parada","")))</f>
        <v/>
      </c>
    </row>
    <row r="172" customFormat="false" ht="15" hidden="false" customHeight="false" outlineLevel="0" collapsed="false">
      <c r="A172" s="44" t="s">
        <v>316</v>
      </c>
      <c r="B172" s="45" t="n">
        <v>46113</v>
      </c>
      <c r="C172" s="46" t="s">
        <v>162</v>
      </c>
      <c r="D172" s="46" t="s">
        <v>131</v>
      </c>
      <c r="E172" s="7" t="str">
        <f aca="false">IF(C172="","",IFERROR(INDEX(cl_Regiao,MATCH(C172,cl_Nome,0)),""))</f>
        <v>Centro-Oeste</v>
      </c>
      <c r="F172" s="46" t="s">
        <v>110</v>
      </c>
      <c r="G172" s="46" t="s">
        <v>111</v>
      </c>
      <c r="H172" s="47" t="n">
        <v>2800</v>
      </c>
      <c r="I172" s="48" t="n">
        <f aca="false">IF(G172="","",IFERROR(INDEX(pr_Prob,MATCH(G172,pr_Etapa,0)),0))</f>
        <v>0</v>
      </c>
      <c r="J172" s="49" t="n">
        <f aca="false">IF(H172="","",H172*I172)</f>
        <v>0</v>
      </c>
      <c r="K172" s="45"/>
      <c r="L172" s="45" t="n">
        <v>46155</v>
      </c>
      <c r="M172" s="50" t="str">
        <f aca="false">IF(G172="","",IF(G172="Fechado ganho","Ganha",IF(G172="Fechado perdido","Perdida","Aberta")))</f>
        <v>Perdida</v>
      </c>
      <c r="N172" s="51" t="n">
        <f aca="false">IF(B172="","",IF(M172="Aberta",DataRef-B172,IF(L172="","",L172-B172)))</f>
        <v>42</v>
      </c>
      <c r="O172" s="50" t="str">
        <f aca="false">IF(M172&lt;&gt;"Aberta","",IF(AND(K172&lt;&gt;"",K172&lt;DataRef),"Previsão vencida",IF(N172&gt;DiasParada,"Parada","")))</f>
        <v/>
      </c>
    </row>
    <row r="173" customFormat="false" ht="15" hidden="false" customHeight="false" outlineLevel="0" collapsed="false">
      <c r="A173" s="44" t="s">
        <v>317</v>
      </c>
      <c r="B173" s="45" t="n">
        <v>46116</v>
      </c>
      <c r="C173" s="46" t="s">
        <v>168</v>
      </c>
      <c r="D173" s="46" t="s">
        <v>127</v>
      </c>
      <c r="E173" s="7" t="str">
        <f aca="false">IF(C173="","",IFERROR(INDEX(cl_Regiao,MATCH(C173,cl_Nome,0)),""))</f>
        <v>Sul</v>
      </c>
      <c r="F173" s="46" t="s">
        <v>115</v>
      </c>
      <c r="G173" s="46" t="s">
        <v>116</v>
      </c>
      <c r="H173" s="47" t="n">
        <v>16700</v>
      </c>
      <c r="I173" s="48" t="n">
        <f aca="false">IF(G173="","",IFERROR(INDEX(pr_Prob,MATCH(G173,pr_Etapa,0)),0))</f>
        <v>1</v>
      </c>
      <c r="J173" s="49" t="n">
        <f aca="false">IF(H173="","",H173*I173)</f>
        <v>16700</v>
      </c>
      <c r="K173" s="45"/>
      <c r="L173" s="45" t="n">
        <v>46183</v>
      </c>
      <c r="M173" s="50" t="str">
        <f aca="false">IF(G173="","",IF(G173="Fechado ganho","Ganha",IF(G173="Fechado perdido","Perdida","Aberta")))</f>
        <v>Ganha</v>
      </c>
      <c r="N173" s="51" t="n">
        <f aca="false">IF(B173="","",IF(M173="Aberta",DataRef-B173,IF(L173="","",L173-B173)))</f>
        <v>67</v>
      </c>
      <c r="O173" s="50" t="str">
        <f aca="false">IF(M173&lt;&gt;"Aberta","",IF(AND(K173&lt;&gt;"",K173&lt;DataRef),"Previsão vencida",IF(N173&gt;DiasParada,"Parada","")))</f>
        <v/>
      </c>
    </row>
    <row r="174" customFormat="false" ht="15" hidden="false" customHeight="false" outlineLevel="0" collapsed="false">
      <c r="A174" s="44" t="s">
        <v>318</v>
      </c>
      <c r="B174" s="45" t="n">
        <v>46118</v>
      </c>
      <c r="C174" s="46" t="s">
        <v>137</v>
      </c>
      <c r="D174" s="46" t="s">
        <v>114</v>
      </c>
      <c r="E174" s="7" t="str">
        <f aca="false">IF(C174="","",IFERROR(INDEX(cl_Regiao,MATCH(C174,cl_Nome,0)),""))</f>
        <v>Norte</v>
      </c>
      <c r="F174" s="46" t="s">
        <v>128</v>
      </c>
      <c r="G174" s="46" t="s">
        <v>116</v>
      </c>
      <c r="H174" s="47" t="n">
        <v>23600</v>
      </c>
      <c r="I174" s="48" t="n">
        <f aca="false">IF(G174="","",IFERROR(INDEX(pr_Prob,MATCH(G174,pr_Etapa,0)),0))</f>
        <v>1</v>
      </c>
      <c r="J174" s="49" t="n">
        <f aca="false">IF(H174="","",H174*I174)</f>
        <v>23600</v>
      </c>
      <c r="K174" s="45"/>
      <c r="L174" s="45" t="n">
        <v>46147</v>
      </c>
      <c r="M174" s="50" t="str">
        <f aca="false">IF(G174="","",IF(G174="Fechado ganho","Ganha",IF(G174="Fechado perdido","Perdida","Aberta")))</f>
        <v>Ganha</v>
      </c>
      <c r="N174" s="51" t="n">
        <f aca="false">IF(B174="","",IF(M174="Aberta",DataRef-B174,IF(L174="","",L174-B174)))</f>
        <v>29</v>
      </c>
      <c r="O174" s="50" t="str">
        <f aca="false">IF(M174&lt;&gt;"Aberta","",IF(AND(K174&lt;&gt;"",K174&lt;DataRef),"Previsão vencida",IF(N174&gt;DiasParada,"Parada","")))</f>
        <v/>
      </c>
    </row>
    <row r="175" customFormat="false" ht="15" hidden="false" customHeight="false" outlineLevel="0" collapsed="false">
      <c r="A175" s="44" t="s">
        <v>319</v>
      </c>
      <c r="B175" s="45" t="n">
        <v>46121</v>
      </c>
      <c r="C175" s="46" t="s">
        <v>180</v>
      </c>
      <c r="D175" s="46" t="s">
        <v>127</v>
      </c>
      <c r="E175" s="7" t="str">
        <f aca="false">IF(C175="","",IFERROR(INDEX(cl_Regiao,MATCH(C175,cl_Nome,0)),""))</f>
        <v>Sul</v>
      </c>
      <c r="F175" s="46" t="s">
        <v>115</v>
      </c>
      <c r="G175" s="46" t="s">
        <v>116</v>
      </c>
      <c r="H175" s="47" t="n">
        <v>79800</v>
      </c>
      <c r="I175" s="48" t="n">
        <f aca="false">IF(G175="","",IFERROR(INDEX(pr_Prob,MATCH(G175,pr_Etapa,0)),0))</f>
        <v>1</v>
      </c>
      <c r="J175" s="49" t="n">
        <f aca="false">IF(H175="","",H175*I175)</f>
        <v>79800</v>
      </c>
      <c r="K175" s="45"/>
      <c r="L175" s="45" t="n">
        <v>46185</v>
      </c>
      <c r="M175" s="50" t="str">
        <f aca="false">IF(G175="","",IF(G175="Fechado ganho","Ganha",IF(G175="Fechado perdido","Perdida","Aberta")))</f>
        <v>Ganha</v>
      </c>
      <c r="N175" s="51" t="n">
        <f aca="false">IF(B175="","",IF(M175="Aberta",DataRef-B175,IF(L175="","",L175-B175)))</f>
        <v>64</v>
      </c>
      <c r="O175" s="50" t="str">
        <f aca="false">IF(M175&lt;&gt;"Aberta","",IF(AND(K175&lt;&gt;"",K175&lt;DataRef),"Previsão vencida",IF(N175&gt;DiasParada,"Parada","")))</f>
        <v/>
      </c>
    </row>
    <row r="176" customFormat="false" ht="15" hidden="false" customHeight="false" outlineLevel="0" collapsed="false">
      <c r="A176" s="44" t="s">
        <v>320</v>
      </c>
      <c r="B176" s="45" t="n">
        <v>46122</v>
      </c>
      <c r="C176" s="46" t="s">
        <v>137</v>
      </c>
      <c r="D176" s="46" t="s">
        <v>114</v>
      </c>
      <c r="E176" s="7" t="str">
        <f aca="false">IF(C176="","",IFERROR(INDEX(cl_Regiao,MATCH(C176,cl_Nome,0)),""))</f>
        <v>Norte</v>
      </c>
      <c r="F176" s="46" t="s">
        <v>110</v>
      </c>
      <c r="G176" s="46" t="s">
        <v>116</v>
      </c>
      <c r="H176" s="47" t="n">
        <v>5200</v>
      </c>
      <c r="I176" s="48" t="n">
        <f aca="false">IF(G176="","",IFERROR(INDEX(pr_Prob,MATCH(G176,pr_Etapa,0)),0))</f>
        <v>1</v>
      </c>
      <c r="J176" s="49" t="n">
        <f aca="false">IF(H176="","",H176*I176)</f>
        <v>5200</v>
      </c>
      <c r="K176" s="45"/>
      <c r="L176" s="45" t="n">
        <v>46155</v>
      </c>
      <c r="M176" s="50" t="str">
        <f aca="false">IF(G176="","",IF(G176="Fechado ganho","Ganha",IF(G176="Fechado perdido","Perdida","Aberta")))</f>
        <v>Ganha</v>
      </c>
      <c r="N176" s="51" t="n">
        <f aca="false">IF(B176="","",IF(M176="Aberta",DataRef-B176,IF(L176="","",L176-B176)))</f>
        <v>33</v>
      </c>
      <c r="O176" s="50" t="str">
        <f aca="false">IF(M176&lt;&gt;"Aberta","",IF(AND(K176&lt;&gt;"",K176&lt;DataRef),"Previsão vencida",IF(N176&gt;DiasParada,"Parada","")))</f>
        <v/>
      </c>
    </row>
    <row r="177" customFormat="false" ht="15" hidden="false" customHeight="false" outlineLevel="0" collapsed="false">
      <c r="A177" s="44" t="s">
        <v>321</v>
      </c>
      <c r="B177" s="45" t="n">
        <v>46123</v>
      </c>
      <c r="C177" s="46" t="s">
        <v>207</v>
      </c>
      <c r="D177" s="46" t="s">
        <v>165</v>
      </c>
      <c r="E177" s="7" t="str">
        <f aca="false">IF(C177="","",IFERROR(INDEX(cl_Regiao,MATCH(C177,cl_Nome,0)),""))</f>
        <v>Nordeste</v>
      </c>
      <c r="F177" s="46" t="s">
        <v>128</v>
      </c>
      <c r="G177" s="46" t="s">
        <v>116</v>
      </c>
      <c r="H177" s="47" t="n">
        <v>9300</v>
      </c>
      <c r="I177" s="48" t="n">
        <f aca="false">IF(G177="","",IFERROR(INDEX(pr_Prob,MATCH(G177,pr_Etapa,0)),0))</f>
        <v>1</v>
      </c>
      <c r="J177" s="49" t="n">
        <f aca="false">IF(H177="","",H177*I177)</f>
        <v>9300</v>
      </c>
      <c r="K177" s="45"/>
      <c r="L177" s="45" t="n">
        <v>46136</v>
      </c>
      <c r="M177" s="50" t="str">
        <f aca="false">IF(G177="","",IF(G177="Fechado ganho","Ganha",IF(G177="Fechado perdido","Perdida","Aberta")))</f>
        <v>Ganha</v>
      </c>
      <c r="N177" s="51" t="n">
        <f aca="false">IF(B177="","",IF(M177="Aberta",DataRef-B177,IF(L177="","",L177-B177)))</f>
        <v>13</v>
      </c>
      <c r="O177" s="50" t="str">
        <f aca="false">IF(M177&lt;&gt;"Aberta","",IF(AND(K177&lt;&gt;"",K177&lt;DataRef),"Previsão vencida",IF(N177&gt;DiasParada,"Parada","")))</f>
        <v/>
      </c>
    </row>
    <row r="178" customFormat="false" ht="15" hidden="false" customHeight="false" outlineLevel="0" collapsed="false">
      <c r="A178" s="44" t="s">
        <v>322</v>
      </c>
      <c r="B178" s="45" t="n">
        <v>46128</v>
      </c>
      <c r="C178" s="46" t="s">
        <v>182</v>
      </c>
      <c r="D178" s="46" t="s">
        <v>109</v>
      </c>
      <c r="E178" s="7" t="str">
        <f aca="false">IF(C178="","",IFERROR(INDEX(cl_Regiao,MATCH(C178,cl_Nome,0)),""))</f>
        <v>Sudeste</v>
      </c>
      <c r="F178" s="46" t="s">
        <v>115</v>
      </c>
      <c r="G178" s="46" t="s">
        <v>111</v>
      </c>
      <c r="H178" s="47" t="n">
        <v>24900</v>
      </c>
      <c r="I178" s="48" t="n">
        <f aca="false">IF(G178="","",IFERROR(INDEX(pr_Prob,MATCH(G178,pr_Etapa,0)),0))</f>
        <v>0</v>
      </c>
      <c r="J178" s="49" t="n">
        <f aca="false">IF(H178="","",H178*I178)</f>
        <v>0</v>
      </c>
      <c r="K178" s="45"/>
      <c r="L178" s="45" t="n">
        <v>46141</v>
      </c>
      <c r="M178" s="50" t="str">
        <f aca="false">IF(G178="","",IF(G178="Fechado ganho","Ganha",IF(G178="Fechado perdido","Perdida","Aberta")))</f>
        <v>Perdida</v>
      </c>
      <c r="N178" s="51" t="n">
        <f aca="false">IF(B178="","",IF(M178="Aberta",DataRef-B178,IF(L178="","",L178-B178)))</f>
        <v>13</v>
      </c>
      <c r="O178" s="50" t="str">
        <f aca="false">IF(M178&lt;&gt;"Aberta","",IF(AND(K178&lt;&gt;"",K178&lt;DataRef),"Previsão vencida",IF(N178&gt;DiasParada,"Parada","")))</f>
        <v/>
      </c>
    </row>
    <row r="179" customFormat="false" ht="15" hidden="false" customHeight="false" outlineLevel="0" collapsed="false">
      <c r="A179" s="44" t="s">
        <v>323</v>
      </c>
      <c r="B179" s="45" t="n">
        <v>46128</v>
      </c>
      <c r="C179" s="46" t="s">
        <v>121</v>
      </c>
      <c r="D179" s="46" t="s">
        <v>119</v>
      </c>
      <c r="E179" s="7" t="str">
        <f aca="false">IF(C179="","",IFERROR(INDEX(cl_Regiao,MATCH(C179,cl_Nome,0)),""))</f>
        <v>Sudeste</v>
      </c>
      <c r="F179" s="46" t="s">
        <v>122</v>
      </c>
      <c r="G179" s="46" t="s">
        <v>116</v>
      </c>
      <c r="H179" s="47" t="n">
        <v>36900</v>
      </c>
      <c r="I179" s="48" t="n">
        <f aca="false">IF(G179="","",IFERROR(INDEX(pr_Prob,MATCH(G179,pr_Etapa,0)),0))</f>
        <v>1</v>
      </c>
      <c r="J179" s="49" t="n">
        <f aca="false">IF(H179="","",H179*I179)</f>
        <v>36900</v>
      </c>
      <c r="K179" s="45"/>
      <c r="L179" s="45" t="n">
        <v>46197</v>
      </c>
      <c r="M179" s="50" t="str">
        <f aca="false">IF(G179="","",IF(G179="Fechado ganho","Ganha",IF(G179="Fechado perdido","Perdida","Aberta")))</f>
        <v>Ganha</v>
      </c>
      <c r="N179" s="51" t="n">
        <f aca="false">IF(B179="","",IF(M179="Aberta",DataRef-B179,IF(L179="","",L179-B179)))</f>
        <v>69</v>
      </c>
      <c r="O179" s="50" t="str">
        <f aca="false">IF(M179&lt;&gt;"Aberta","",IF(AND(K179&lt;&gt;"",K179&lt;DataRef),"Previsão vencida",IF(N179&gt;DiasParada,"Parada","")))</f>
        <v/>
      </c>
    </row>
    <row r="180" customFormat="false" ht="15" hidden="false" customHeight="false" outlineLevel="0" collapsed="false">
      <c r="A180" s="44" t="s">
        <v>324</v>
      </c>
      <c r="B180" s="45" t="n">
        <v>46131</v>
      </c>
      <c r="C180" s="46" t="s">
        <v>130</v>
      </c>
      <c r="D180" s="46" t="s">
        <v>131</v>
      </c>
      <c r="E180" s="7" t="str">
        <f aca="false">IF(C180="","",IFERROR(INDEX(cl_Regiao,MATCH(C180,cl_Nome,0)),""))</f>
        <v>Centro-Oeste</v>
      </c>
      <c r="F180" s="46" t="s">
        <v>115</v>
      </c>
      <c r="G180" s="46" t="s">
        <v>111</v>
      </c>
      <c r="H180" s="47" t="n">
        <v>43100</v>
      </c>
      <c r="I180" s="48" t="n">
        <f aca="false">IF(G180="","",IFERROR(INDEX(pr_Prob,MATCH(G180,pr_Etapa,0)),0))</f>
        <v>0</v>
      </c>
      <c r="J180" s="49" t="n">
        <f aca="false">IF(H180="","",H180*I180)</f>
        <v>0</v>
      </c>
      <c r="K180" s="45"/>
      <c r="L180" s="45" t="n">
        <v>46148</v>
      </c>
      <c r="M180" s="50" t="str">
        <f aca="false">IF(G180="","",IF(G180="Fechado ganho","Ganha",IF(G180="Fechado perdido","Perdida","Aberta")))</f>
        <v>Perdida</v>
      </c>
      <c r="N180" s="51" t="n">
        <f aca="false">IF(B180="","",IF(M180="Aberta",DataRef-B180,IF(L180="","",L180-B180)))</f>
        <v>17</v>
      </c>
      <c r="O180" s="50" t="str">
        <f aca="false">IF(M180&lt;&gt;"Aberta","",IF(AND(K180&lt;&gt;"",K180&lt;DataRef),"Previsão vencida",IF(N180&gt;DiasParada,"Parada","")))</f>
        <v/>
      </c>
    </row>
    <row r="181" customFormat="false" ht="15" hidden="false" customHeight="false" outlineLevel="0" collapsed="false">
      <c r="A181" s="44" t="s">
        <v>325</v>
      </c>
      <c r="B181" s="45" t="n">
        <v>46132</v>
      </c>
      <c r="C181" s="46" t="s">
        <v>126</v>
      </c>
      <c r="D181" s="46" t="s">
        <v>127</v>
      </c>
      <c r="E181" s="7" t="str">
        <f aca="false">IF(C181="","",IFERROR(INDEX(cl_Regiao,MATCH(C181,cl_Nome,0)),""))</f>
        <v>Sul</v>
      </c>
      <c r="F181" s="46" t="s">
        <v>128</v>
      </c>
      <c r="G181" s="46" t="s">
        <v>116</v>
      </c>
      <c r="H181" s="47" t="n">
        <v>11800</v>
      </c>
      <c r="I181" s="48" t="n">
        <f aca="false">IF(G181="","",IFERROR(INDEX(pr_Prob,MATCH(G181,pr_Etapa,0)),0))</f>
        <v>1</v>
      </c>
      <c r="J181" s="49" t="n">
        <f aca="false">IF(H181="","",H181*I181)</f>
        <v>11800</v>
      </c>
      <c r="K181" s="45"/>
      <c r="L181" s="45" t="n">
        <v>46171</v>
      </c>
      <c r="M181" s="50" t="str">
        <f aca="false">IF(G181="","",IF(G181="Fechado ganho","Ganha",IF(G181="Fechado perdido","Perdida","Aberta")))</f>
        <v>Ganha</v>
      </c>
      <c r="N181" s="51" t="n">
        <f aca="false">IF(B181="","",IF(M181="Aberta",DataRef-B181,IF(L181="","",L181-B181)))</f>
        <v>39</v>
      </c>
      <c r="O181" s="50" t="str">
        <f aca="false">IF(M181&lt;&gt;"Aberta","",IF(AND(K181&lt;&gt;"",K181&lt;DataRef),"Previsão vencida",IF(N181&gt;DiasParada,"Parada","")))</f>
        <v/>
      </c>
    </row>
    <row r="182" customFormat="false" ht="15" hidden="false" customHeight="false" outlineLevel="0" collapsed="false">
      <c r="A182" s="44" t="s">
        <v>326</v>
      </c>
      <c r="B182" s="45" t="n">
        <v>46134</v>
      </c>
      <c r="C182" s="46" t="s">
        <v>113</v>
      </c>
      <c r="D182" s="46" t="s">
        <v>114</v>
      </c>
      <c r="E182" s="7" t="str">
        <f aca="false">IF(C182="","",IFERROR(INDEX(cl_Regiao,MATCH(C182,cl_Nome,0)),""))</f>
        <v>Norte</v>
      </c>
      <c r="F182" s="46" t="s">
        <v>115</v>
      </c>
      <c r="G182" s="46" t="s">
        <v>116</v>
      </c>
      <c r="H182" s="47" t="n">
        <v>37200</v>
      </c>
      <c r="I182" s="48" t="n">
        <f aca="false">IF(G182="","",IFERROR(INDEX(pr_Prob,MATCH(G182,pr_Etapa,0)),0))</f>
        <v>1</v>
      </c>
      <c r="J182" s="49" t="n">
        <f aca="false">IF(H182="","",H182*I182)</f>
        <v>37200</v>
      </c>
      <c r="K182" s="45"/>
      <c r="L182" s="45" t="n">
        <v>46198</v>
      </c>
      <c r="M182" s="50" t="str">
        <f aca="false">IF(G182="","",IF(G182="Fechado ganho","Ganha",IF(G182="Fechado perdido","Perdida","Aberta")))</f>
        <v>Ganha</v>
      </c>
      <c r="N182" s="51" t="n">
        <f aca="false">IF(B182="","",IF(M182="Aberta",DataRef-B182,IF(L182="","",L182-B182)))</f>
        <v>64</v>
      </c>
      <c r="O182" s="50" t="str">
        <f aca="false">IF(M182&lt;&gt;"Aberta","",IF(AND(K182&lt;&gt;"",K182&lt;DataRef),"Previsão vencida",IF(N182&gt;DiasParada,"Parada","")))</f>
        <v/>
      </c>
    </row>
    <row r="183" customFormat="false" ht="15" hidden="false" customHeight="false" outlineLevel="0" collapsed="false">
      <c r="A183" s="44" t="s">
        <v>327</v>
      </c>
      <c r="B183" s="45" t="n">
        <v>46135</v>
      </c>
      <c r="C183" s="46" t="s">
        <v>153</v>
      </c>
      <c r="D183" s="46" t="s">
        <v>131</v>
      </c>
      <c r="E183" s="7" t="str">
        <f aca="false">IF(C183="","",IFERROR(INDEX(cl_Regiao,MATCH(C183,cl_Nome,0)),""))</f>
        <v>Centro-Oeste</v>
      </c>
      <c r="F183" s="46" t="s">
        <v>122</v>
      </c>
      <c r="G183" s="46" t="s">
        <v>111</v>
      </c>
      <c r="H183" s="47" t="n">
        <v>9100</v>
      </c>
      <c r="I183" s="48" t="n">
        <f aca="false">IF(G183="","",IFERROR(INDEX(pr_Prob,MATCH(G183,pr_Etapa,0)),0))</f>
        <v>0</v>
      </c>
      <c r="J183" s="49" t="n">
        <f aca="false">IF(H183="","",H183*I183)</f>
        <v>0</v>
      </c>
      <c r="K183" s="45"/>
      <c r="L183" s="45" t="n">
        <v>46155</v>
      </c>
      <c r="M183" s="50" t="str">
        <f aca="false">IF(G183="","",IF(G183="Fechado ganho","Ganha",IF(G183="Fechado perdido","Perdida","Aberta")))</f>
        <v>Perdida</v>
      </c>
      <c r="N183" s="51" t="n">
        <f aca="false">IF(B183="","",IF(M183="Aberta",DataRef-B183,IF(L183="","",L183-B183)))</f>
        <v>20</v>
      </c>
      <c r="O183" s="50" t="str">
        <f aca="false">IF(M183&lt;&gt;"Aberta","",IF(AND(K183&lt;&gt;"",K183&lt;DataRef),"Previsão vencida",IF(N183&gt;DiasParada,"Parada","")))</f>
        <v/>
      </c>
    </row>
    <row r="184" customFormat="false" ht="15" hidden="false" customHeight="false" outlineLevel="0" collapsed="false">
      <c r="A184" s="44" t="s">
        <v>328</v>
      </c>
      <c r="B184" s="45" t="n">
        <v>46135</v>
      </c>
      <c r="C184" s="46" t="s">
        <v>329</v>
      </c>
      <c r="D184" s="46" t="s">
        <v>109</v>
      </c>
      <c r="E184" s="7" t="str">
        <f aca="false">IF(C184="","",IFERROR(INDEX(cl_Regiao,MATCH(C184,cl_Nome,0)),""))</f>
        <v>Sudeste</v>
      </c>
      <c r="F184" s="46" t="s">
        <v>122</v>
      </c>
      <c r="G184" s="46" t="s">
        <v>116</v>
      </c>
      <c r="H184" s="47" t="n">
        <v>2200</v>
      </c>
      <c r="I184" s="48" t="n">
        <f aca="false">IF(G184="","",IFERROR(INDEX(pr_Prob,MATCH(G184,pr_Etapa,0)),0))</f>
        <v>1</v>
      </c>
      <c r="J184" s="49" t="n">
        <f aca="false">IF(H184="","",H184*I184)</f>
        <v>2200</v>
      </c>
      <c r="K184" s="45"/>
      <c r="L184" s="45" t="n">
        <v>46164</v>
      </c>
      <c r="M184" s="50" t="str">
        <f aca="false">IF(G184="","",IF(G184="Fechado ganho","Ganha",IF(G184="Fechado perdido","Perdida","Aberta")))</f>
        <v>Ganha</v>
      </c>
      <c r="N184" s="51" t="n">
        <f aca="false">IF(B184="","",IF(M184="Aberta",DataRef-B184,IF(L184="","",L184-B184)))</f>
        <v>29</v>
      </c>
      <c r="O184" s="50" t="str">
        <f aca="false">IF(M184&lt;&gt;"Aberta","",IF(AND(K184&lt;&gt;"",K184&lt;DataRef),"Previsão vencida",IF(N184&gt;DiasParada,"Parada","")))</f>
        <v/>
      </c>
    </row>
    <row r="185" customFormat="false" ht="15" hidden="false" customHeight="false" outlineLevel="0" collapsed="false">
      <c r="A185" s="44" t="s">
        <v>330</v>
      </c>
      <c r="B185" s="45" t="n">
        <v>46135</v>
      </c>
      <c r="C185" s="46" t="s">
        <v>133</v>
      </c>
      <c r="D185" s="46" t="s">
        <v>119</v>
      </c>
      <c r="E185" s="7" t="str">
        <f aca="false">IF(C185="","",IFERROR(INDEX(cl_Regiao,MATCH(C185,cl_Nome,0)),""))</f>
        <v>Sudeste</v>
      </c>
      <c r="F185" s="46" t="s">
        <v>115</v>
      </c>
      <c r="G185" s="46" t="s">
        <v>116</v>
      </c>
      <c r="H185" s="47" t="n">
        <v>92200</v>
      </c>
      <c r="I185" s="48" t="n">
        <f aca="false">IF(G185="","",IFERROR(INDEX(pr_Prob,MATCH(G185,pr_Etapa,0)),0))</f>
        <v>1</v>
      </c>
      <c r="J185" s="49" t="n">
        <f aca="false">IF(H185="","",H185*I185)</f>
        <v>92200</v>
      </c>
      <c r="K185" s="45"/>
      <c r="L185" s="45" t="n">
        <v>46213</v>
      </c>
      <c r="M185" s="50" t="str">
        <f aca="false">IF(G185="","",IF(G185="Fechado ganho","Ganha",IF(G185="Fechado perdido","Perdida","Aberta")))</f>
        <v>Ganha</v>
      </c>
      <c r="N185" s="51" t="n">
        <f aca="false">IF(B185="","",IF(M185="Aberta",DataRef-B185,IF(L185="","",L185-B185)))</f>
        <v>78</v>
      </c>
      <c r="O185" s="50" t="str">
        <f aca="false">IF(M185&lt;&gt;"Aberta","",IF(AND(K185&lt;&gt;"",K185&lt;DataRef),"Previsão vencida",IF(N185&gt;DiasParada,"Parada","")))</f>
        <v/>
      </c>
    </row>
    <row r="186" customFormat="false" ht="15" hidden="false" customHeight="false" outlineLevel="0" collapsed="false">
      <c r="A186" s="44" t="s">
        <v>331</v>
      </c>
      <c r="B186" s="45" t="n">
        <v>46136</v>
      </c>
      <c r="C186" s="46" t="s">
        <v>118</v>
      </c>
      <c r="D186" s="46" t="s">
        <v>119</v>
      </c>
      <c r="E186" s="7" t="str">
        <f aca="false">IF(C186="","",IFERROR(INDEX(cl_Regiao,MATCH(C186,cl_Nome,0)),""))</f>
        <v>Sudeste</v>
      </c>
      <c r="F186" s="46" t="s">
        <v>128</v>
      </c>
      <c r="G186" s="46" t="s">
        <v>111</v>
      </c>
      <c r="H186" s="47" t="n">
        <v>12800</v>
      </c>
      <c r="I186" s="48" t="n">
        <f aca="false">IF(G186="","",IFERROR(INDEX(pr_Prob,MATCH(G186,pr_Etapa,0)),0))</f>
        <v>0</v>
      </c>
      <c r="J186" s="49" t="n">
        <f aca="false">IF(H186="","",H186*I186)</f>
        <v>0</v>
      </c>
      <c r="K186" s="45"/>
      <c r="L186" s="45" t="n">
        <v>46200</v>
      </c>
      <c r="M186" s="50" t="str">
        <f aca="false">IF(G186="","",IF(G186="Fechado ganho","Ganha",IF(G186="Fechado perdido","Perdida","Aberta")))</f>
        <v>Perdida</v>
      </c>
      <c r="N186" s="51" t="n">
        <f aca="false">IF(B186="","",IF(M186="Aberta",DataRef-B186,IF(L186="","",L186-B186)))</f>
        <v>64</v>
      </c>
      <c r="O186" s="50" t="str">
        <f aca="false">IF(M186&lt;&gt;"Aberta","",IF(AND(K186&lt;&gt;"",K186&lt;DataRef),"Previsão vencida",IF(N186&gt;DiasParada,"Parada","")))</f>
        <v/>
      </c>
    </row>
    <row r="187" customFormat="false" ht="15" hidden="false" customHeight="false" outlineLevel="0" collapsed="false">
      <c r="A187" s="44" t="s">
        <v>332</v>
      </c>
      <c r="B187" s="45" t="n">
        <v>46136</v>
      </c>
      <c r="C187" s="46" t="s">
        <v>133</v>
      </c>
      <c r="D187" s="46" t="s">
        <v>119</v>
      </c>
      <c r="E187" s="7" t="str">
        <f aca="false">IF(C187="","",IFERROR(INDEX(cl_Regiao,MATCH(C187,cl_Nome,0)),""))</f>
        <v>Sudeste</v>
      </c>
      <c r="F187" s="46" t="s">
        <v>122</v>
      </c>
      <c r="G187" s="46" t="s">
        <v>116</v>
      </c>
      <c r="H187" s="47" t="n">
        <v>32500</v>
      </c>
      <c r="I187" s="48" t="n">
        <f aca="false">IF(G187="","",IFERROR(INDEX(pr_Prob,MATCH(G187,pr_Etapa,0)),0))</f>
        <v>1</v>
      </c>
      <c r="J187" s="49" t="n">
        <f aca="false">IF(H187="","",H187*I187)</f>
        <v>32500</v>
      </c>
      <c r="K187" s="45"/>
      <c r="L187" s="45" t="n">
        <v>46187</v>
      </c>
      <c r="M187" s="50" t="str">
        <f aca="false">IF(G187="","",IF(G187="Fechado ganho","Ganha",IF(G187="Fechado perdido","Perdida","Aberta")))</f>
        <v>Ganha</v>
      </c>
      <c r="N187" s="51" t="n">
        <f aca="false">IF(B187="","",IF(M187="Aberta",DataRef-B187,IF(L187="","",L187-B187)))</f>
        <v>51</v>
      </c>
      <c r="O187" s="50" t="str">
        <f aca="false">IF(M187&lt;&gt;"Aberta","",IF(AND(K187&lt;&gt;"",K187&lt;DataRef),"Previsão vencida",IF(N187&gt;DiasParada,"Parada","")))</f>
        <v/>
      </c>
    </row>
    <row r="188" customFormat="false" ht="15" hidden="false" customHeight="false" outlineLevel="0" collapsed="false">
      <c r="A188" s="44" t="s">
        <v>333</v>
      </c>
      <c r="B188" s="45" t="n">
        <v>46137</v>
      </c>
      <c r="C188" s="46" t="s">
        <v>137</v>
      </c>
      <c r="D188" s="46" t="s">
        <v>114</v>
      </c>
      <c r="E188" s="7" t="str">
        <f aca="false">IF(C188="","",IFERROR(INDEX(cl_Regiao,MATCH(C188,cl_Nome,0)),""))</f>
        <v>Norte</v>
      </c>
      <c r="F188" s="46" t="s">
        <v>110</v>
      </c>
      <c r="G188" s="46" t="s">
        <v>116</v>
      </c>
      <c r="H188" s="47" t="n">
        <v>2500</v>
      </c>
      <c r="I188" s="48" t="n">
        <f aca="false">IF(G188="","",IFERROR(INDEX(pr_Prob,MATCH(G188,pr_Etapa,0)),0))</f>
        <v>1</v>
      </c>
      <c r="J188" s="49" t="n">
        <f aca="false">IF(H188="","",H188*I188)</f>
        <v>2500</v>
      </c>
      <c r="K188" s="45"/>
      <c r="L188" s="45" t="n">
        <v>46208</v>
      </c>
      <c r="M188" s="50" t="str">
        <f aca="false">IF(G188="","",IF(G188="Fechado ganho","Ganha",IF(G188="Fechado perdido","Perdida","Aberta")))</f>
        <v>Ganha</v>
      </c>
      <c r="N188" s="51" t="n">
        <f aca="false">IF(B188="","",IF(M188="Aberta",DataRef-B188,IF(L188="","",L188-B188)))</f>
        <v>71</v>
      </c>
      <c r="O188" s="50" t="str">
        <f aca="false">IF(M188&lt;&gt;"Aberta","",IF(AND(K188&lt;&gt;"",K188&lt;DataRef),"Previsão vencida",IF(N188&gt;DiasParada,"Parada","")))</f>
        <v/>
      </c>
    </row>
    <row r="189" customFormat="false" ht="15" hidden="false" customHeight="false" outlineLevel="0" collapsed="false">
      <c r="A189" s="44" t="s">
        <v>334</v>
      </c>
      <c r="B189" s="45" t="n">
        <v>46137</v>
      </c>
      <c r="C189" s="46" t="s">
        <v>153</v>
      </c>
      <c r="D189" s="46" t="s">
        <v>131</v>
      </c>
      <c r="E189" s="7" t="str">
        <f aca="false">IF(C189="","",IFERROR(INDEX(cl_Regiao,MATCH(C189,cl_Nome,0)),""))</f>
        <v>Centro-Oeste</v>
      </c>
      <c r="F189" s="46" t="s">
        <v>128</v>
      </c>
      <c r="G189" s="46" t="s">
        <v>116</v>
      </c>
      <c r="H189" s="47" t="n">
        <v>12900</v>
      </c>
      <c r="I189" s="48" t="n">
        <f aca="false">IF(G189="","",IFERROR(INDEX(pr_Prob,MATCH(G189,pr_Etapa,0)),0))</f>
        <v>1</v>
      </c>
      <c r="J189" s="49" t="n">
        <f aca="false">IF(H189="","",H189*I189)</f>
        <v>12900</v>
      </c>
      <c r="K189" s="45"/>
      <c r="L189" s="45" t="n">
        <v>46204</v>
      </c>
      <c r="M189" s="50" t="str">
        <f aca="false">IF(G189="","",IF(G189="Fechado ganho","Ganha",IF(G189="Fechado perdido","Perdida","Aberta")))</f>
        <v>Ganha</v>
      </c>
      <c r="N189" s="51" t="n">
        <f aca="false">IF(B189="","",IF(M189="Aberta",DataRef-B189,IF(L189="","",L189-B189)))</f>
        <v>67</v>
      </c>
      <c r="O189" s="50" t="str">
        <f aca="false">IF(M189&lt;&gt;"Aberta","",IF(AND(K189&lt;&gt;"",K189&lt;DataRef),"Previsão vencida",IF(N189&gt;DiasParada,"Parada","")))</f>
        <v/>
      </c>
    </row>
    <row r="190" customFormat="false" ht="15" hidden="false" customHeight="false" outlineLevel="0" collapsed="false">
      <c r="A190" s="44" t="s">
        <v>335</v>
      </c>
      <c r="B190" s="45" t="n">
        <v>46137</v>
      </c>
      <c r="C190" s="46" t="s">
        <v>158</v>
      </c>
      <c r="D190" s="46" t="s">
        <v>131</v>
      </c>
      <c r="E190" s="7" t="str">
        <f aca="false">IF(C190="","",IFERROR(INDEX(cl_Regiao,MATCH(C190,cl_Nome,0)),""))</f>
        <v>Centro-Oeste</v>
      </c>
      <c r="F190" s="46" t="s">
        <v>122</v>
      </c>
      <c r="G190" s="46" t="s">
        <v>116</v>
      </c>
      <c r="H190" s="47" t="n">
        <v>7200</v>
      </c>
      <c r="I190" s="48" t="n">
        <f aca="false">IF(G190="","",IFERROR(INDEX(pr_Prob,MATCH(G190,pr_Etapa,0)),0))</f>
        <v>1</v>
      </c>
      <c r="J190" s="49" t="n">
        <f aca="false">IF(H190="","",H190*I190)</f>
        <v>7200</v>
      </c>
      <c r="K190" s="45"/>
      <c r="L190" s="45" t="n">
        <v>46193</v>
      </c>
      <c r="M190" s="50" t="str">
        <f aca="false">IF(G190="","",IF(G190="Fechado ganho","Ganha",IF(G190="Fechado perdido","Perdida","Aberta")))</f>
        <v>Ganha</v>
      </c>
      <c r="N190" s="51" t="n">
        <f aca="false">IF(B190="","",IF(M190="Aberta",DataRef-B190,IF(L190="","",L190-B190)))</f>
        <v>56</v>
      </c>
      <c r="O190" s="50" t="str">
        <f aca="false">IF(M190&lt;&gt;"Aberta","",IF(AND(K190&lt;&gt;"",K190&lt;DataRef),"Previsão vencida",IF(N190&gt;DiasParada,"Parada","")))</f>
        <v/>
      </c>
    </row>
    <row r="191" customFormat="false" ht="15" hidden="false" customHeight="false" outlineLevel="0" collapsed="false">
      <c r="A191" s="44" t="s">
        <v>336</v>
      </c>
      <c r="B191" s="45" t="n">
        <v>46139</v>
      </c>
      <c r="C191" s="46" t="s">
        <v>337</v>
      </c>
      <c r="D191" s="46" t="s">
        <v>165</v>
      </c>
      <c r="E191" s="7" t="str">
        <f aca="false">IF(C191="","",IFERROR(INDEX(cl_Regiao,MATCH(C191,cl_Nome,0)),""))</f>
        <v>Nordeste</v>
      </c>
      <c r="F191" s="46" t="s">
        <v>128</v>
      </c>
      <c r="G191" s="46" t="s">
        <v>116</v>
      </c>
      <c r="H191" s="47" t="n">
        <v>23500</v>
      </c>
      <c r="I191" s="48" t="n">
        <f aca="false">IF(G191="","",IFERROR(INDEX(pr_Prob,MATCH(G191,pr_Etapa,0)),0))</f>
        <v>1</v>
      </c>
      <c r="J191" s="49" t="n">
        <f aca="false">IF(H191="","",H191*I191)</f>
        <v>23500</v>
      </c>
      <c r="K191" s="45"/>
      <c r="L191" s="45" t="n">
        <v>46184</v>
      </c>
      <c r="M191" s="50" t="str">
        <f aca="false">IF(G191="","",IF(G191="Fechado ganho","Ganha",IF(G191="Fechado perdido","Perdida","Aberta")))</f>
        <v>Ganha</v>
      </c>
      <c r="N191" s="51" t="n">
        <f aca="false">IF(B191="","",IF(M191="Aberta",DataRef-B191,IF(L191="","",L191-B191)))</f>
        <v>45</v>
      </c>
      <c r="O191" s="50" t="str">
        <f aca="false">IF(M191&lt;&gt;"Aberta","",IF(AND(K191&lt;&gt;"",K191&lt;DataRef),"Previsão vencida",IF(N191&gt;DiasParada,"Parada","")))</f>
        <v/>
      </c>
    </row>
    <row r="192" customFormat="false" ht="15" hidden="false" customHeight="false" outlineLevel="0" collapsed="false">
      <c r="A192" s="44" t="s">
        <v>338</v>
      </c>
      <c r="B192" s="45" t="n">
        <v>46141</v>
      </c>
      <c r="C192" s="46" t="s">
        <v>118</v>
      </c>
      <c r="D192" s="46" t="s">
        <v>119</v>
      </c>
      <c r="E192" s="7" t="str">
        <f aca="false">IF(C192="","",IFERROR(INDEX(cl_Regiao,MATCH(C192,cl_Nome,0)),""))</f>
        <v>Sudeste</v>
      </c>
      <c r="F192" s="46" t="s">
        <v>128</v>
      </c>
      <c r="G192" s="46" t="s">
        <v>116</v>
      </c>
      <c r="H192" s="47" t="n">
        <v>4400</v>
      </c>
      <c r="I192" s="48" t="n">
        <f aca="false">IF(G192="","",IFERROR(INDEX(pr_Prob,MATCH(G192,pr_Etapa,0)),0))</f>
        <v>1</v>
      </c>
      <c r="J192" s="49" t="n">
        <f aca="false">IF(H192="","",H192*I192)</f>
        <v>4400</v>
      </c>
      <c r="K192" s="45"/>
      <c r="L192" s="45" t="n">
        <v>46201</v>
      </c>
      <c r="M192" s="50" t="str">
        <f aca="false">IF(G192="","",IF(G192="Fechado ganho","Ganha",IF(G192="Fechado perdido","Perdida","Aberta")))</f>
        <v>Ganha</v>
      </c>
      <c r="N192" s="51" t="n">
        <f aca="false">IF(B192="","",IF(M192="Aberta",DataRef-B192,IF(L192="","",L192-B192)))</f>
        <v>60</v>
      </c>
      <c r="O192" s="50" t="str">
        <f aca="false">IF(M192&lt;&gt;"Aberta","",IF(AND(K192&lt;&gt;"",K192&lt;DataRef),"Previsão vencida",IF(N192&gt;DiasParada,"Parada","")))</f>
        <v/>
      </c>
    </row>
    <row r="193" customFormat="false" ht="15" hidden="false" customHeight="false" outlineLevel="0" collapsed="false">
      <c r="A193" s="44" t="s">
        <v>339</v>
      </c>
      <c r="B193" s="45" t="n">
        <v>46142</v>
      </c>
      <c r="C193" s="46" t="s">
        <v>130</v>
      </c>
      <c r="D193" s="46" t="s">
        <v>131</v>
      </c>
      <c r="E193" s="7" t="str">
        <f aca="false">IF(C193="","",IFERROR(INDEX(cl_Regiao,MATCH(C193,cl_Nome,0)),""))</f>
        <v>Centro-Oeste</v>
      </c>
      <c r="F193" s="46" t="s">
        <v>122</v>
      </c>
      <c r="G193" s="46" t="s">
        <v>116</v>
      </c>
      <c r="H193" s="47" t="n">
        <v>2700</v>
      </c>
      <c r="I193" s="48" t="n">
        <f aca="false">IF(G193="","",IFERROR(INDEX(pr_Prob,MATCH(G193,pr_Etapa,0)),0))</f>
        <v>1</v>
      </c>
      <c r="J193" s="49" t="n">
        <f aca="false">IF(H193="","",H193*I193)</f>
        <v>2700</v>
      </c>
      <c r="K193" s="45"/>
      <c r="L193" s="45" t="n">
        <v>46206</v>
      </c>
      <c r="M193" s="50" t="str">
        <f aca="false">IF(G193="","",IF(G193="Fechado ganho","Ganha",IF(G193="Fechado perdido","Perdida","Aberta")))</f>
        <v>Ganha</v>
      </c>
      <c r="N193" s="51" t="n">
        <f aca="false">IF(B193="","",IF(M193="Aberta",DataRef-B193,IF(L193="","",L193-B193)))</f>
        <v>64</v>
      </c>
      <c r="O193" s="50" t="str">
        <f aca="false">IF(M193&lt;&gt;"Aberta","",IF(AND(K193&lt;&gt;"",K193&lt;DataRef),"Previsão vencida",IF(N193&gt;DiasParada,"Parada","")))</f>
        <v/>
      </c>
    </row>
    <row r="194" customFormat="false" ht="15" hidden="false" customHeight="false" outlineLevel="0" collapsed="false">
      <c r="A194" s="44" t="s">
        <v>340</v>
      </c>
      <c r="B194" s="45" t="n">
        <v>46142</v>
      </c>
      <c r="C194" s="46" t="s">
        <v>207</v>
      </c>
      <c r="D194" s="46" t="s">
        <v>165</v>
      </c>
      <c r="E194" s="7" t="str">
        <f aca="false">IF(C194="","",IFERROR(INDEX(cl_Regiao,MATCH(C194,cl_Nome,0)),""))</f>
        <v>Nordeste</v>
      </c>
      <c r="F194" s="46" t="s">
        <v>115</v>
      </c>
      <c r="G194" s="46" t="s">
        <v>111</v>
      </c>
      <c r="H194" s="47" t="n">
        <v>30900</v>
      </c>
      <c r="I194" s="48" t="n">
        <f aca="false">IF(G194="","",IFERROR(INDEX(pr_Prob,MATCH(G194,pr_Etapa,0)),0))</f>
        <v>0</v>
      </c>
      <c r="J194" s="49" t="n">
        <f aca="false">IF(H194="","",H194*I194)</f>
        <v>0</v>
      </c>
      <c r="K194" s="45"/>
      <c r="L194" s="45" t="n">
        <v>46183</v>
      </c>
      <c r="M194" s="50" t="str">
        <f aca="false">IF(G194="","",IF(G194="Fechado ganho","Ganha",IF(G194="Fechado perdido","Perdida","Aberta")))</f>
        <v>Perdida</v>
      </c>
      <c r="N194" s="51" t="n">
        <f aca="false">IF(B194="","",IF(M194="Aberta",DataRef-B194,IF(L194="","",L194-B194)))</f>
        <v>41</v>
      </c>
      <c r="O194" s="50" t="str">
        <f aca="false">IF(M194&lt;&gt;"Aberta","",IF(AND(K194&lt;&gt;"",K194&lt;DataRef),"Previsão vencida",IF(N194&gt;DiasParada,"Parada","")))</f>
        <v/>
      </c>
    </row>
    <row r="195" customFormat="false" ht="15" hidden="false" customHeight="false" outlineLevel="0" collapsed="false">
      <c r="A195" s="44" t="s">
        <v>341</v>
      </c>
      <c r="B195" s="45" t="n">
        <v>46146</v>
      </c>
      <c r="C195" s="46" t="s">
        <v>121</v>
      </c>
      <c r="D195" s="46" t="s">
        <v>119</v>
      </c>
      <c r="E195" s="7" t="str">
        <f aca="false">IF(C195="","",IFERROR(INDEX(cl_Regiao,MATCH(C195,cl_Nome,0)),""))</f>
        <v>Sudeste</v>
      </c>
      <c r="F195" s="46" t="s">
        <v>128</v>
      </c>
      <c r="G195" s="46" t="s">
        <v>116</v>
      </c>
      <c r="H195" s="47" t="n">
        <v>70500</v>
      </c>
      <c r="I195" s="48" t="n">
        <f aca="false">IF(G195="","",IFERROR(INDEX(pr_Prob,MATCH(G195,pr_Etapa,0)),0))</f>
        <v>1</v>
      </c>
      <c r="J195" s="49" t="n">
        <f aca="false">IF(H195="","",H195*I195)</f>
        <v>70500</v>
      </c>
      <c r="K195" s="45"/>
      <c r="L195" s="45" t="n">
        <v>46208</v>
      </c>
      <c r="M195" s="50" t="str">
        <f aca="false">IF(G195="","",IF(G195="Fechado ganho","Ganha",IF(G195="Fechado perdido","Perdida","Aberta")))</f>
        <v>Ganha</v>
      </c>
      <c r="N195" s="51" t="n">
        <f aca="false">IF(B195="","",IF(M195="Aberta",DataRef-B195,IF(L195="","",L195-B195)))</f>
        <v>62</v>
      </c>
      <c r="O195" s="50" t="str">
        <f aca="false">IF(M195&lt;&gt;"Aberta","",IF(AND(K195&lt;&gt;"",K195&lt;DataRef),"Previsão vencida",IF(N195&gt;DiasParada,"Parada","")))</f>
        <v/>
      </c>
    </row>
    <row r="196" customFormat="false" ht="15" hidden="false" customHeight="false" outlineLevel="0" collapsed="false">
      <c r="A196" s="44" t="s">
        <v>342</v>
      </c>
      <c r="B196" s="45" t="n">
        <v>46147</v>
      </c>
      <c r="C196" s="46" t="s">
        <v>148</v>
      </c>
      <c r="D196" s="46" t="s">
        <v>109</v>
      </c>
      <c r="E196" s="7" t="str">
        <f aca="false">IF(C196="","",IFERROR(INDEX(cl_Regiao,MATCH(C196,cl_Nome,0)),""))</f>
        <v>Sudeste</v>
      </c>
      <c r="F196" s="46" t="s">
        <v>110</v>
      </c>
      <c r="G196" s="46" t="s">
        <v>111</v>
      </c>
      <c r="H196" s="47" t="n">
        <v>21700</v>
      </c>
      <c r="I196" s="48" t="n">
        <f aca="false">IF(G196="","",IFERROR(INDEX(pr_Prob,MATCH(G196,pr_Etapa,0)),0))</f>
        <v>0</v>
      </c>
      <c r="J196" s="49" t="n">
        <f aca="false">IF(H196="","",H196*I196)</f>
        <v>0</v>
      </c>
      <c r="K196" s="45"/>
      <c r="L196" s="45" t="n">
        <v>46160</v>
      </c>
      <c r="M196" s="50" t="str">
        <f aca="false">IF(G196="","",IF(G196="Fechado ganho","Ganha",IF(G196="Fechado perdido","Perdida","Aberta")))</f>
        <v>Perdida</v>
      </c>
      <c r="N196" s="51" t="n">
        <f aca="false">IF(B196="","",IF(M196="Aberta",DataRef-B196,IF(L196="","",L196-B196)))</f>
        <v>13</v>
      </c>
      <c r="O196" s="50" t="str">
        <f aca="false">IF(M196&lt;&gt;"Aberta","",IF(AND(K196&lt;&gt;"",K196&lt;DataRef),"Previsão vencida",IF(N196&gt;DiasParada,"Parada","")))</f>
        <v/>
      </c>
    </row>
    <row r="197" customFormat="false" ht="15" hidden="false" customHeight="false" outlineLevel="0" collapsed="false">
      <c r="A197" s="44" t="s">
        <v>343</v>
      </c>
      <c r="B197" s="45" t="n">
        <v>46148</v>
      </c>
      <c r="C197" s="46" t="s">
        <v>236</v>
      </c>
      <c r="D197" s="46" t="s">
        <v>165</v>
      </c>
      <c r="E197" s="7" t="str">
        <f aca="false">IF(C197="","",IFERROR(INDEX(cl_Regiao,MATCH(C197,cl_Nome,0)),""))</f>
        <v>Nordeste</v>
      </c>
      <c r="F197" s="46" t="s">
        <v>110</v>
      </c>
      <c r="G197" s="46" t="s">
        <v>116</v>
      </c>
      <c r="H197" s="47" t="n">
        <v>8900</v>
      </c>
      <c r="I197" s="48" t="n">
        <f aca="false">IF(G197="","",IFERROR(INDEX(pr_Prob,MATCH(G197,pr_Etapa,0)),0))</f>
        <v>1</v>
      </c>
      <c r="J197" s="49" t="n">
        <f aca="false">IF(H197="","",H197*I197)</f>
        <v>8900</v>
      </c>
      <c r="K197" s="45"/>
      <c r="L197" s="45" t="n">
        <v>46193</v>
      </c>
      <c r="M197" s="50" t="str">
        <f aca="false">IF(G197="","",IF(G197="Fechado ganho","Ganha",IF(G197="Fechado perdido","Perdida","Aberta")))</f>
        <v>Ganha</v>
      </c>
      <c r="N197" s="51" t="n">
        <f aca="false">IF(B197="","",IF(M197="Aberta",DataRef-B197,IF(L197="","",L197-B197)))</f>
        <v>45</v>
      </c>
      <c r="O197" s="50" t="str">
        <f aca="false">IF(M197&lt;&gt;"Aberta","",IF(AND(K197&lt;&gt;"",K197&lt;DataRef),"Previsão vencida",IF(N197&gt;DiasParada,"Parada","")))</f>
        <v/>
      </c>
    </row>
    <row r="198" customFormat="false" ht="15" hidden="false" customHeight="false" outlineLevel="0" collapsed="false">
      <c r="A198" s="44" t="s">
        <v>344</v>
      </c>
      <c r="B198" s="45" t="n">
        <v>46150</v>
      </c>
      <c r="C198" s="46" t="s">
        <v>135</v>
      </c>
      <c r="D198" s="46" t="s">
        <v>119</v>
      </c>
      <c r="E198" s="7" t="str">
        <f aca="false">IF(C198="","",IFERROR(INDEX(cl_Regiao,MATCH(C198,cl_Nome,0)),""))</f>
        <v>Sudeste</v>
      </c>
      <c r="F198" s="46" t="s">
        <v>128</v>
      </c>
      <c r="G198" s="46" t="s">
        <v>116</v>
      </c>
      <c r="H198" s="47" t="n">
        <v>13300</v>
      </c>
      <c r="I198" s="48" t="n">
        <f aca="false">IF(G198="","",IFERROR(INDEX(pr_Prob,MATCH(G198,pr_Etapa,0)),0))</f>
        <v>1</v>
      </c>
      <c r="J198" s="49" t="n">
        <f aca="false">IF(H198="","",H198*I198)</f>
        <v>13300</v>
      </c>
      <c r="K198" s="45"/>
      <c r="L198" s="45" t="n">
        <v>46210</v>
      </c>
      <c r="M198" s="50" t="str">
        <f aca="false">IF(G198="","",IF(G198="Fechado ganho","Ganha",IF(G198="Fechado perdido","Perdida","Aberta")))</f>
        <v>Ganha</v>
      </c>
      <c r="N198" s="51" t="n">
        <f aca="false">IF(B198="","",IF(M198="Aberta",DataRef-B198,IF(L198="","",L198-B198)))</f>
        <v>60</v>
      </c>
      <c r="O198" s="50" t="str">
        <f aca="false">IF(M198&lt;&gt;"Aberta","",IF(AND(K198&lt;&gt;"",K198&lt;DataRef),"Previsão vencida",IF(N198&gt;DiasParada,"Parada","")))</f>
        <v/>
      </c>
    </row>
    <row r="199" customFormat="false" ht="15" hidden="false" customHeight="false" outlineLevel="0" collapsed="false">
      <c r="A199" s="44" t="s">
        <v>345</v>
      </c>
      <c r="B199" s="45" t="n">
        <v>46151</v>
      </c>
      <c r="C199" s="46" t="s">
        <v>346</v>
      </c>
      <c r="D199" s="46" t="s">
        <v>127</v>
      </c>
      <c r="E199" s="7" t="str">
        <f aca="false">IF(C199="","",IFERROR(INDEX(cl_Regiao,MATCH(C199,cl_Nome,0)),""))</f>
        <v>Sul</v>
      </c>
      <c r="F199" s="46" t="s">
        <v>122</v>
      </c>
      <c r="G199" s="46" t="s">
        <v>111</v>
      </c>
      <c r="H199" s="47" t="n">
        <v>11000</v>
      </c>
      <c r="I199" s="48" t="n">
        <f aca="false">IF(G199="","",IFERROR(INDEX(pr_Prob,MATCH(G199,pr_Etapa,0)),0))</f>
        <v>0</v>
      </c>
      <c r="J199" s="49" t="n">
        <f aca="false">IF(H199="","",H199*I199)</f>
        <v>0</v>
      </c>
      <c r="K199" s="45"/>
      <c r="L199" s="45" t="n">
        <v>46181</v>
      </c>
      <c r="M199" s="50" t="str">
        <f aca="false">IF(G199="","",IF(G199="Fechado ganho","Ganha",IF(G199="Fechado perdido","Perdida","Aberta")))</f>
        <v>Perdida</v>
      </c>
      <c r="N199" s="51" t="n">
        <f aca="false">IF(B199="","",IF(M199="Aberta",DataRef-B199,IF(L199="","",L199-B199)))</f>
        <v>30</v>
      </c>
      <c r="O199" s="50" t="str">
        <f aca="false">IF(M199&lt;&gt;"Aberta","",IF(AND(K199&lt;&gt;"",K199&lt;DataRef),"Previsão vencida",IF(N199&gt;DiasParada,"Parada","")))</f>
        <v/>
      </c>
    </row>
    <row r="200" customFormat="false" ht="15" hidden="false" customHeight="false" outlineLevel="0" collapsed="false">
      <c r="A200" s="44" t="s">
        <v>347</v>
      </c>
      <c r="B200" s="45" t="n">
        <v>46151</v>
      </c>
      <c r="C200" s="46" t="s">
        <v>329</v>
      </c>
      <c r="D200" s="46" t="s">
        <v>109</v>
      </c>
      <c r="E200" s="7" t="str">
        <f aca="false">IF(C200="","",IFERROR(INDEX(cl_Regiao,MATCH(C200,cl_Nome,0)),""))</f>
        <v>Sudeste</v>
      </c>
      <c r="F200" s="46" t="s">
        <v>128</v>
      </c>
      <c r="G200" s="46" t="s">
        <v>116</v>
      </c>
      <c r="H200" s="47" t="n">
        <v>6600</v>
      </c>
      <c r="I200" s="48" t="n">
        <f aca="false">IF(G200="","",IFERROR(INDEX(pr_Prob,MATCH(G200,pr_Etapa,0)),0))</f>
        <v>1</v>
      </c>
      <c r="J200" s="49" t="n">
        <f aca="false">IF(H200="","",H200*I200)</f>
        <v>6600</v>
      </c>
      <c r="K200" s="45"/>
      <c r="L200" s="45" t="n">
        <v>46176</v>
      </c>
      <c r="M200" s="50" t="str">
        <f aca="false">IF(G200="","",IF(G200="Fechado ganho","Ganha",IF(G200="Fechado perdido","Perdida","Aberta")))</f>
        <v>Ganha</v>
      </c>
      <c r="N200" s="51" t="n">
        <f aca="false">IF(B200="","",IF(M200="Aberta",DataRef-B200,IF(L200="","",L200-B200)))</f>
        <v>25</v>
      </c>
      <c r="O200" s="50" t="str">
        <f aca="false">IF(M200&lt;&gt;"Aberta","",IF(AND(K200&lt;&gt;"",K200&lt;DataRef),"Previsão vencida",IF(N200&gt;DiasParada,"Parada","")))</f>
        <v/>
      </c>
    </row>
    <row r="201" customFormat="false" ht="15" hidden="false" customHeight="false" outlineLevel="0" collapsed="false">
      <c r="A201" s="44" t="s">
        <v>348</v>
      </c>
      <c r="B201" s="45" t="n">
        <v>46152</v>
      </c>
      <c r="C201" s="46" t="s">
        <v>236</v>
      </c>
      <c r="D201" s="46" t="s">
        <v>165</v>
      </c>
      <c r="E201" s="7" t="str">
        <f aca="false">IF(C201="","",IFERROR(INDEX(cl_Regiao,MATCH(C201,cl_Nome,0)),""))</f>
        <v>Nordeste</v>
      </c>
      <c r="F201" s="46" t="s">
        <v>115</v>
      </c>
      <c r="G201" s="46" t="s">
        <v>111</v>
      </c>
      <c r="H201" s="47" t="n">
        <v>97000</v>
      </c>
      <c r="I201" s="48" t="n">
        <f aca="false">IF(G201="","",IFERROR(INDEX(pr_Prob,MATCH(G201,pr_Etapa,0)),0))</f>
        <v>0</v>
      </c>
      <c r="J201" s="49" t="n">
        <f aca="false">IF(H201="","",H201*I201)</f>
        <v>0</v>
      </c>
      <c r="K201" s="45"/>
      <c r="L201" s="45" t="n">
        <v>46184</v>
      </c>
      <c r="M201" s="50" t="str">
        <f aca="false">IF(G201="","",IF(G201="Fechado ganho","Ganha",IF(G201="Fechado perdido","Perdida","Aberta")))</f>
        <v>Perdida</v>
      </c>
      <c r="N201" s="51" t="n">
        <f aca="false">IF(B201="","",IF(M201="Aberta",DataRef-B201,IF(L201="","",L201-B201)))</f>
        <v>32</v>
      </c>
      <c r="O201" s="50" t="str">
        <f aca="false">IF(M201&lt;&gt;"Aberta","",IF(AND(K201&lt;&gt;"",K201&lt;DataRef),"Previsão vencida",IF(N201&gt;DiasParada,"Parada","")))</f>
        <v/>
      </c>
    </row>
    <row r="202" customFormat="false" ht="15" hidden="false" customHeight="false" outlineLevel="0" collapsed="false">
      <c r="A202" s="44" t="s">
        <v>349</v>
      </c>
      <c r="B202" s="45" t="n">
        <v>46154</v>
      </c>
      <c r="C202" s="46" t="s">
        <v>121</v>
      </c>
      <c r="D202" s="46" t="s">
        <v>119</v>
      </c>
      <c r="E202" s="7" t="str">
        <f aca="false">IF(C202="","",IFERROR(INDEX(cl_Regiao,MATCH(C202,cl_Nome,0)),""))</f>
        <v>Sudeste</v>
      </c>
      <c r="F202" s="46" t="s">
        <v>115</v>
      </c>
      <c r="G202" s="46" t="s">
        <v>116</v>
      </c>
      <c r="H202" s="47" t="n">
        <v>111500</v>
      </c>
      <c r="I202" s="48" t="n">
        <f aca="false">IF(G202="","",IFERROR(INDEX(pr_Prob,MATCH(G202,pr_Etapa,0)),0))</f>
        <v>1</v>
      </c>
      <c r="J202" s="49" t="n">
        <f aca="false">IF(H202="","",H202*I202)</f>
        <v>111500</v>
      </c>
      <c r="K202" s="45"/>
      <c r="L202" s="45" t="n">
        <v>46200</v>
      </c>
      <c r="M202" s="50" t="str">
        <f aca="false">IF(G202="","",IF(G202="Fechado ganho","Ganha",IF(G202="Fechado perdido","Perdida","Aberta")))</f>
        <v>Ganha</v>
      </c>
      <c r="N202" s="51" t="n">
        <f aca="false">IF(B202="","",IF(M202="Aberta",DataRef-B202,IF(L202="","",L202-B202)))</f>
        <v>46</v>
      </c>
      <c r="O202" s="50" t="str">
        <f aca="false">IF(M202&lt;&gt;"Aberta","",IF(AND(K202&lt;&gt;"",K202&lt;DataRef),"Previsão vencida",IF(N202&gt;DiasParada,"Parada","")))</f>
        <v/>
      </c>
    </row>
    <row r="203" customFormat="false" ht="15" hidden="false" customHeight="false" outlineLevel="0" collapsed="false">
      <c r="A203" s="44" t="s">
        <v>350</v>
      </c>
      <c r="B203" s="45" t="n">
        <v>46155</v>
      </c>
      <c r="C203" s="46" t="s">
        <v>351</v>
      </c>
      <c r="D203" s="46" t="s">
        <v>119</v>
      </c>
      <c r="E203" s="7" t="str">
        <f aca="false">IF(C203="","",IFERROR(INDEX(cl_Regiao,MATCH(C203,cl_Nome,0)),""))</f>
        <v>Sudeste</v>
      </c>
      <c r="F203" s="46" t="s">
        <v>122</v>
      </c>
      <c r="G203" s="46" t="s">
        <v>111</v>
      </c>
      <c r="H203" s="47" t="n">
        <v>14700</v>
      </c>
      <c r="I203" s="48" t="n">
        <f aca="false">IF(G203="","",IFERROR(INDEX(pr_Prob,MATCH(G203,pr_Etapa,0)),0))</f>
        <v>0</v>
      </c>
      <c r="J203" s="49" t="n">
        <f aca="false">IF(H203="","",H203*I203)</f>
        <v>0</v>
      </c>
      <c r="K203" s="45"/>
      <c r="L203" s="45" t="n">
        <v>46185</v>
      </c>
      <c r="M203" s="50" t="str">
        <f aca="false">IF(G203="","",IF(G203="Fechado ganho","Ganha",IF(G203="Fechado perdido","Perdida","Aberta")))</f>
        <v>Perdida</v>
      </c>
      <c r="N203" s="51" t="n">
        <f aca="false">IF(B203="","",IF(M203="Aberta",DataRef-B203,IF(L203="","",L203-B203)))</f>
        <v>30</v>
      </c>
      <c r="O203" s="50" t="str">
        <f aca="false">IF(M203&lt;&gt;"Aberta","",IF(AND(K203&lt;&gt;"",K203&lt;DataRef),"Previsão vencida",IF(N203&gt;DiasParada,"Parada","")))</f>
        <v/>
      </c>
    </row>
    <row r="204" customFormat="false" ht="15" hidden="false" customHeight="false" outlineLevel="0" collapsed="false">
      <c r="A204" s="44" t="s">
        <v>352</v>
      </c>
      <c r="B204" s="45" t="n">
        <v>46156</v>
      </c>
      <c r="C204" s="46" t="s">
        <v>113</v>
      </c>
      <c r="D204" s="46" t="s">
        <v>114</v>
      </c>
      <c r="E204" s="7" t="str">
        <f aca="false">IF(C204="","",IFERROR(INDEX(cl_Regiao,MATCH(C204,cl_Nome,0)),""))</f>
        <v>Norte</v>
      </c>
      <c r="F204" s="46" t="s">
        <v>110</v>
      </c>
      <c r="G204" s="46" t="s">
        <v>116</v>
      </c>
      <c r="H204" s="47" t="n">
        <v>6800</v>
      </c>
      <c r="I204" s="48" t="n">
        <f aca="false">IF(G204="","",IFERROR(INDEX(pr_Prob,MATCH(G204,pr_Etapa,0)),0))</f>
        <v>1</v>
      </c>
      <c r="J204" s="49" t="n">
        <f aca="false">IF(H204="","",H204*I204)</f>
        <v>6800</v>
      </c>
      <c r="K204" s="45"/>
      <c r="L204" s="45" t="n">
        <v>46202</v>
      </c>
      <c r="M204" s="50" t="str">
        <f aca="false">IF(G204="","",IF(G204="Fechado ganho","Ganha",IF(G204="Fechado perdido","Perdida","Aberta")))</f>
        <v>Ganha</v>
      </c>
      <c r="N204" s="51" t="n">
        <f aca="false">IF(B204="","",IF(M204="Aberta",DataRef-B204,IF(L204="","",L204-B204)))</f>
        <v>46</v>
      </c>
      <c r="O204" s="50" t="str">
        <f aca="false">IF(M204&lt;&gt;"Aberta","",IF(AND(K204&lt;&gt;"",K204&lt;DataRef),"Previsão vencida",IF(N204&gt;DiasParada,"Parada","")))</f>
        <v/>
      </c>
    </row>
    <row r="205" customFormat="false" ht="15" hidden="false" customHeight="false" outlineLevel="0" collapsed="false">
      <c r="A205" s="44" t="s">
        <v>353</v>
      </c>
      <c r="B205" s="45" t="n">
        <v>46156</v>
      </c>
      <c r="C205" s="46" t="s">
        <v>337</v>
      </c>
      <c r="D205" s="46" t="s">
        <v>165</v>
      </c>
      <c r="E205" s="7" t="str">
        <f aca="false">IF(C205="","",IFERROR(INDEX(cl_Regiao,MATCH(C205,cl_Nome,0)),""))</f>
        <v>Nordeste</v>
      </c>
      <c r="F205" s="46" t="s">
        <v>110</v>
      </c>
      <c r="G205" s="46" t="s">
        <v>116</v>
      </c>
      <c r="H205" s="47" t="n">
        <v>3900</v>
      </c>
      <c r="I205" s="48" t="n">
        <f aca="false">IF(G205="","",IFERROR(INDEX(pr_Prob,MATCH(G205,pr_Etapa,0)),0))</f>
        <v>1</v>
      </c>
      <c r="J205" s="49" t="n">
        <f aca="false">IF(H205="","",H205*I205)</f>
        <v>3900</v>
      </c>
      <c r="K205" s="45"/>
      <c r="L205" s="45" t="n">
        <v>46177</v>
      </c>
      <c r="M205" s="50" t="str">
        <f aca="false">IF(G205="","",IF(G205="Fechado ganho","Ganha",IF(G205="Fechado perdido","Perdida","Aberta")))</f>
        <v>Ganha</v>
      </c>
      <c r="N205" s="51" t="n">
        <f aca="false">IF(B205="","",IF(M205="Aberta",DataRef-B205,IF(L205="","",L205-B205)))</f>
        <v>21</v>
      </c>
      <c r="O205" s="50" t="str">
        <f aca="false">IF(M205&lt;&gt;"Aberta","",IF(AND(K205&lt;&gt;"",K205&lt;DataRef),"Previsão vencida",IF(N205&gt;DiasParada,"Parada","")))</f>
        <v/>
      </c>
    </row>
    <row r="206" customFormat="false" ht="15" hidden="false" customHeight="false" outlineLevel="0" collapsed="false">
      <c r="A206" s="44" t="s">
        <v>354</v>
      </c>
      <c r="B206" s="45" t="n">
        <v>46156</v>
      </c>
      <c r="C206" s="46" t="s">
        <v>158</v>
      </c>
      <c r="D206" s="46" t="s">
        <v>131</v>
      </c>
      <c r="E206" s="7" t="str">
        <f aca="false">IF(C206="","",IFERROR(INDEX(cl_Regiao,MATCH(C206,cl_Nome,0)),""))</f>
        <v>Centro-Oeste</v>
      </c>
      <c r="F206" s="46" t="s">
        <v>110</v>
      </c>
      <c r="G206" s="46" t="s">
        <v>116</v>
      </c>
      <c r="H206" s="47" t="n">
        <v>10700</v>
      </c>
      <c r="I206" s="48" t="n">
        <f aca="false">IF(G206="","",IFERROR(INDEX(pr_Prob,MATCH(G206,pr_Etapa,0)),0))</f>
        <v>1</v>
      </c>
      <c r="J206" s="49" t="n">
        <f aca="false">IF(H206="","",H206*I206)</f>
        <v>10700</v>
      </c>
      <c r="K206" s="45"/>
      <c r="L206" s="45" t="n">
        <v>46215</v>
      </c>
      <c r="M206" s="50" t="str">
        <f aca="false">IF(G206="","",IF(G206="Fechado ganho","Ganha",IF(G206="Fechado perdido","Perdida","Aberta")))</f>
        <v>Ganha</v>
      </c>
      <c r="N206" s="51" t="n">
        <f aca="false">IF(B206="","",IF(M206="Aberta",DataRef-B206,IF(L206="","",L206-B206)))</f>
        <v>59</v>
      </c>
      <c r="O206" s="50" t="str">
        <f aca="false">IF(M206&lt;&gt;"Aberta","",IF(AND(K206&lt;&gt;"",K206&lt;DataRef),"Previsão vencida",IF(N206&gt;DiasParada,"Parada","")))</f>
        <v/>
      </c>
    </row>
    <row r="207" customFormat="false" ht="15" hidden="false" customHeight="false" outlineLevel="0" collapsed="false">
      <c r="A207" s="44" t="s">
        <v>355</v>
      </c>
      <c r="B207" s="45" t="n">
        <v>46157</v>
      </c>
      <c r="C207" s="46" t="s">
        <v>133</v>
      </c>
      <c r="D207" s="46" t="s">
        <v>119</v>
      </c>
      <c r="E207" s="7" t="str">
        <f aca="false">IF(C207="","",IFERROR(INDEX(cl_Regiao,MATCH(C207,cl_Nome,0)),""))</f>
        <v>Sudeste</v>
      </c>
      <c r="F207" s="46" t="s">
        <v>110</v>
      </c>
      <c r="G207" s="46" t="s">
        <v>111</v>
      </c>
      <c r="H207" s="47" t="n">
        <v>7100</v>
      </c>
      <c r="I207" s="48" t="n">
        <f aca="false">IF(G207="","",IFERROR(INDEX(pr_Prob,MATCH(G207,pr_Etapa,0)),0))</f>
        <v>0</v>
      </c>
      <c r="J207" s="49" t="n">
        <f aca="false">IF(H207="","",H207*I207)</f>
        <v>0</v>
      </c>
      <c r="K207" s="45"/>
      <c r="L207" s="45" t="n">
        <v>46208</v>
      </c>
      <c r="M207" s="50" t="str">
        <f aca="false">IF(G207="","",IF(G207="Fechado ganho","Ganha",IF(G207="Fechado perdido","Perdida","Aberta")))</f>
        <v>Perdida</v>
      </c>
      <c r="N207" s="51" t="n">
        <f aca="false">IF(B207="","",IF(M207="Aberta",DataRef-B207,IF(L207="","",L207-B207)))</f>
        <v>51</v>
      </c>
      <c r="O207" s="50" t="str">
        <f aca="false">IF(M207&lt;&gt;"Aberta","",IF(AND(K207&lt;&gt;"",K207&lt;DataRef),"Previsão vencida",IF(N207&gt;DiasParada,"Parada","")))</f>
        <v/>
      </c>
    </row>
    <row r="208" customFormat="false" ht="15" hidden="false" customHeight="false" outlineLevel="0" collapsed="false">
      <c r="A208" s="44" t="s">
        <v>356</v>
      </c>
      <c r="B208" s="45" t="n">
        <v>46158</v>
      </c>
      <c r="C208" s="46" t="s">
        <v>164</v>
      </c>
      <c r="D208" s="46" t="s">
        <v>165</v>
      </c>
      <c r="E208" s="7" t="str">
        <f aca="false">IF(C208="","",IFERROR(INDEX(cl_Regiao,MATCH(C208,cl_Nome,0)),""))</f>
        <v>Nordeste</v>
      </c>
      <c r="F208" s="46" t="s">
        <v>128</v>
      </c>
      <c r="G208" s="46" t="s">
        <v>224</v>
      </c>
      <c r="H208" s="47" t="n">
        <v>26400</v>
      </c>
      <c r="I208" s="48" t="n">
        <f aca="false">IF(G208="","",IFERROR(INDEX(pr_Prob,MATCH(G208,pr_Etapa,0)),0))</f>
        <v>0.25</v>
      </c>
      <c r="J208" s="49" t="n">
        <f aca="false">IF(H208="","",H208*I208)</f>
        <v>6600</v>
      </c>
      <c r="K208" s="45" t="n">
        <v>46272</v>
      </c>
      <c r="L208" s="45"/>
      <c r="M208" s="50" t="str">
        <f aca="false">IF(G208="","",IF(G208="Fechado ganho","Ganha",IF(G208="Fechado perdido","Perdida","Aberta")))</f>
        <v>Aberta</v>
      </c>
      <c r="N208" s="51" t="n">
        <f aca="false">IF(B208="","",IF(M208="Aberta",DataRef-B208,IF(L208="","",L208-B208)))</f>
        <v>150</v>
      </c>
      <c r="O208" s="50" t="str">
        <f aca="false">IF(M208&lt;&gt;"Aberta","",IF(AND(K208&lt;&gt;"",K208&lt;DataRef),"Previsão vencida",IF(N208&gt;DiasParada,"Parada","")))</f>
        <v>Previsão vencida</v>
      </c>
    </row>
    <row r="209" customFormat="false" ht="15" hidden="false" customHeight="false" outlineLevel="0" collapsed="false">
      <c r="A209" s="44" t="s">
        <v>357</v>
      </c>
      <c r="B209" s="45" t="n">
        <v>46159</v>
      </c>
      <c r="C209" s="46" t="s">
        <v>121</v>
      </c>
      <c r="D209" s="46" t="s">
        <v>119</v>
      </c>
      <c r="E209" s="7" t="str">
        <f aca="false">IF(C209="","",IFERROR(INDEX(cl_Regiao,MATCH(C209,cl_Nome,0)),""))</f>
        <v>Sudeste</v>
      </c>
      <c r="F209" s="46" t="s">
        <v>122</v>
      </c>
      <c r="G209" s="46" t="s">
        <v>116</v>
      </c>
      <c r="H209" s="47" t="n">
        <v>16300</v>
      </c>
      <c r="I209" s="48" t="n">
        <f aca="false">IF(G209="","",IFERROR(INDEX(pr_Prob,MATCH(G209,pr_Etapa,0)),0))</f>
        <v>1</v>
      </c>
      <c r="J209" s="49" t="n">
        <f aca="false">IF(H209="","",H209*I209)</f>
        <v>16300</v>
      </c>
      <c r="K209" s="45"/>
      <c r="L209" s="45" t="n">
        <v>46206</v>
      </c>
      <c r="M209" s="50" t="str">
        <f aca="false">IF(G209="","",IF(G209="Fechado ganho","Ganha",IF(G209="Fechado perdido","Perdida","Aberta")))</f>
        <v>Ganha</v>
      </c>
      <c r="N209" s="51" t="n">
        <f aca="false">IF(B209="","",IF(M209="Aberta",DataRef-B209,IF(L209="","",L209-B209)))</f>
        <v>47</v>
      </c>
      <c r="O209" s="50" t="str">
        <f aca="false">IF(M209&lt;&gt;"Aberta","",IF(AND(K209&lt;&gt;"",K209&lt;DataRef),"Previsão vencida",IF(N209&gt;DiasParada,"Parada","")))</f>
        <v/>
      </c>
    </row>
    <row r="210" customFormat="false" ht="15" hidden="false" customHeight="false" outlineLevel="0" collapsed="false">
      <c r="A210" s="44" t="s">
        <v>358</v>
      </c>
      <c r="B210" s="45" t="n">
        <v>46159</v>
      </c>
      <c r="C210" s="46" t="s">
        <v>207</v>
      </c>
      <c r="D210" s="46" t="s">
        <v>165</v>
      </c>
      <c r="E210" s="7" t="str">
        <f aca="false">IF(C210="","",IFERROR(INDEX(cl_Regiao,MATCH(C210,cl_Nome,0)),""))</f>
        <v>Nordeste</v>
      </c>
      <c r="F210" s="46" t="s">
        <v>115</v>
      </c>
      <c r="G210" s="46" t="s">
        <v>111</v>
      </c>
      <c r="H210" s="47" t="n">
        <v>19700</v>
      </c>
      <c r="I210" s="48" t="n">
        <f aca="false">IF(G210="","",IFERROR(INDEX(pr_Prob,MATCH(G210,pr_Etapa,0)),0))</f>
        <v>0</v>
      </c>
      <c r="J210" s="49" t="n">
        <f aca="false">IF(H210="","",H210*I210)</f>
        <v>0</v>
      </c>
      <c r="K210" s="45"/>
      <c r="L210" s="45" t="n">
        <v>46232</v>
      </c>
      <c r="M210" s="50" t="str">
        <f aca="false">IF(G210="","",IF(G210="Fechado ganho","Ganha",IF(G210="Fechado perdido","Perdida","Aberta")))</f>
        <v>Perdida</v>
      </c>
      <c r="N210" s="51" t="n">
        <f aca="false">IF(B210="","",IF(M210="Aberta",DataRef-B210,IF(L210="","",L210-B210)))</f>
        <v>73</v>
      </c>
      <c r="O210" s="50" t="str">
        <f aca="false">IF(M210&lt;&gt;"Aberta","",IF(AND(K210&lt;&gt;"",K210&lt;DataRef),"Previsão vencida",IF(N210&gt;DiasParada,"Parada","")))</f>
        <v/>
      </c>
    </row>
    <row r="211" customFormat="false" ht="15" hidden="false" customHeight="false" outlineLevel="0" collapsed="false">
      <c r="A211" s="44" t="s">
        <v>359</v>
      </c>
      <c r="B211" s="45" t="n">
        <v>46161</v>
      </c>
      <c r="C211" s="46" t="s">
        <v>141</v>
      </c>
      <c r="D211" s="46" t="s">
        <v>109</v>
      </c>
      <c r="E211" s="7" t="str">
        <f aca="false">IF(C211="","",IFERROR(INDEX(cl_Regiao,MATCH(C211,cl_Nome,0)),""))</f>
        <v>Sudeste</v>
      </c>
      <c r="F211" s="46" t="s">
        <v>128</v>
      </c>
      <c r="G211" s="46" t="s">
        <v>116</v>
      </c>
      <c r="H211" s="47" t="n">
        <v>37300</v>
      </c>
      <c r="I211" s="48" t="n">
        <f aca="false">IF(G211="","",IFERROR(INDEX(pr_Prob,MATCH(G211,pr_Etapa,0)),0))</f>
        <v>1</v>
      </c>
      <c r="J211" s="49" t="n">
        <f aca="false">IF(H211="","",H211*I211)</f>
        <v>37300</v>
      </c>
      <c r="K211" s="45"/>
      <c r="L211" s="45" t="n">
        <v>46239</v>
      </c>
      <c r="M211" s="50" t="str">
        <f aca="false">IF(G211="","",IF(G211="Fechado ganho","Ganha",IF(G211="Fechado perdido","Perdida","Aberta")))</f>
        <v>Ganha</v>
      </c>
      <c r="N211" s="51" t="n">
        <f aca="false">IF(B211="","",IF(M211="Aberta",DataRef-B211,IF(L211="","",L211-B211)))</f>
        <v>78</v>
      </c>
      <c r="O211" s="50" t="str">
        <f aca="false">IF(M211&lt;&gt;"Aberta","",IF(AND(K211&lt;&gt;"",K211&lt;DataRef),"Previsão vencida",IF(N211&gt;DiasParada,"Parada","")))</f>
        <v/>
      </c>
    </row>
    <row r="212" customFormat="false" ht="15" hidden="false" customHeight="false" outlineLevel="0" collapsed="false">
      <c r="A212" s="44" t="s">
        <v>360</v>
      </c>
      <c r="B212" s="45" t="n">
        <v>46162</v>
      </c>
      <c r="C212" s="46" t="s">
        <v>135</v>
      </c>
      <c r="D212" s="46" t="s">
        <v>119</v>
      </c>
      <c r="E212" s="7" t="str">
        <f aca="false">IF(C212="","",IFERROR(INDEX(cl_Regiao,MATCH(C212,cl_Nome,0)),""))</f>
        <v>Sudeste</v>
      </c>
      <c r="F212" s="46" t="s">
        <v>115</v>
      </c>
      <c r="G212" s="46" t="s">
        <v>361</v>
      </c>
      <c r="H212" s="47" t="n">
        <v>19300</v>
      </c>
      <c r="I212" s="48" t="n">
        <f aca="false">IF(G212="","",IFERROR(INDEX(pr_Prob,MATCH(G212,pr_Etapa,0)),0))</f>
        <v>0.1</v>
      </c>
      <c r="J212" s="49" t="n">
        <f aca="false">IF(H212="","",H212*I212)</f>
        <v>1930</v>
      </c>
      <c r="K212" s="45" t="n">
        <v>46222</v>
      </c>
      <c r="L212" s="45"/>
      <c r="M212" s="50" t="str">
        <f aca="false">IF(G212="","",IF(G212="Fechado ganho","Ganha",IF(G212="Fechado perdido","Perdida","Aberta")))</f>
        <v>Aberta</v>
      </c>
      <c r="N212" s="51" t="n">
        <f aca="false">IF(B212="","",IF(M212="Aberta",DataRef-B212,IF(L212="","",L212-B212)))</f>
        <v>146</v>
      </c>
      <c r="O212" s="50" t="str">
        <f aca="false">IF(M212&lt;&gt;"Aberta","",IF(AND(K212&lt;&gt;"",K212&lt;DataRef),"Previsão vencida",IF(N212&gt;DiasParada,"Parada","")))</f>
        <v>Previsão vencida</v>
      </c>
    </row>
    <row r="213" customFormat="false" ht="15" hidden="false" customHeight="false" outlineLevel="0" collapsed="false">
      <c r="A213" s="44" t="s">
        <v>362</v>
      </c>
      <c r="B213" s="45" t="n">
        <v>46162</v>
      </c>
      <c r="C213" s="46" t="s">
        <v>180</v>
      </c>
      <c r="D213" s="46" t="s">
        <v>127</v>
      </c>
      <c r="E213" s="7" t="str">
        <f aca="false">IF(C213="","",IFERROR(INDEX(cl_Regiao,MATCH(C213,cl_Nome,0)),""))</f>
        <v>Sul</v>
      </c>
      <c r="F213" s="46" t="s">
        <v>110</v>
      </c>
      <c r="G213" s="46" t="s">
        <v>111</v>
      </c>
      <c r="H213" s="47" t="n">
        <v>14900</v>
      </c>
      <c r="I213" s="48" t="n">
        <f aca="false">IF(G213="","",IFERROR(INDEX(pr_Prob,MATCH(G213,pr_Etapa,0)),0))</f>
        <v>0</v>
      </c>
      <c r="J213" s="49" t="n">
        <f aca="false">IF(H213="","",H213*I213)</f>
        <v>0</v>
      </c>
      <c r="K213" s="45"/>
      <c r="L213" s="45" t="n">
        <v>46219</v>
      </c>
      <c r="M213" s="50" t="str">
        <f aca="false">IF(G213="","",IF(G213="Fechado ganho","Ganha",IF(G213="Fechado perdido","Perdida","Aberta")))</f>
        <v>Perdida</v>
      </c>
      <c r="N213" s="51" t="n">
        <f aca="false">IF(B213="","",IF(M213="Aberta",DataRef-B213,IF(L213="","",L213-B213)))</f>
        <v>57</v>
      </c>
      <c r="O213" s="50" t="str">
        <f aca="false">IF(M213&lt;&gt;"Aberta","",IF(AND(K213&lt;&gt;"",K213&lt;DataRef),"Previsão vencida",IF(N213&gt;DiasParada,"Parada","")))</f>
        <v/>
      </c>
    </row>
    <row r="214" customFormat="false" ht="15" hidden="false" customHeight="false" outlineLevel="0" collapsed="false">
      <c r="A214" s="44" t="s">
        <v>363</v>
      </c>
      <c r="B214" s="45" t="n">
        <v>46164</v>
      </c>
      <c r="C214" s="46" t="s">
        <v>108</v>
      </c>
      <c r="D214" s="46" t="s">
        <v>109</v>
      </c>
      <c r="E214" s="7" t="str">
        <f aca="false">IF(C214="","",IFERROR(INDEX(cl_Regiao,MATCH(C214,cl_Nome,0)),""))</f>
        <v>Sudeste</v>
      </c>
      <c r="F214" s="46" t="s">
        <v>122</v>
      </c>
      <c r="G214" s="46" t="s">
        <v>111</v>
      </c>
      <c r="H214" s="47" t="n">
        <v>7300</v>
      </c>
      <c r="I214" s="48" t="n">
        <f aca="false">IF(G214="","",IFERROR(INDEX(pr_Prob,MATCH(G214,pr_Etapa,0)),0))</f>
        <v>0</v>
      </c>
      <c r="J214" s="49" t="n">
        <f aca="false">IF(H214="","",H214*I214)</f>
        <v>0</v>
      </c>
      <c r="K214" s="45"/>
      <c r="L214" s="45" t="n">
        <v>46201</v>
      </c>
      <c r="M214" s="50" t="str">
        <f aca="false">IF(G214="","",IF(G214="Fechado ganho","Ganha",IF(G214="Fechado perdido","Perdida","Aberta")))</f>
        <v>Perdida</v>
      </c>
      <c r="N214" s="51" t="n">
        <f aca="false">IF(B214="","",IF(M214="Aberta",DataRef-B214,IF(L214="","",L214-B214)))</f>
        <v>37</v>
      </c>
      <c r="O214" s="50" t="str">
        <f aca="false">IF(M214&lt;&gt;"Aberta","",IF(AND(K214&lt;&gt;"",K214&lt;DataRef),"Previsão vencida",IF(N214&gt;DiasParada,"Parada","")))</f>
        <v/>
      </c>
    </row>
    <row r="215" customFormat="false" ht="15" hidden="false" customHeight="false" outlineLevel="0" collapsed="false">
      <c r="A215" s="44" t="s">
        <v>364</v>
      </c>
      <c r="B215" s="45" t="n">
        <v>46165</v>
      </c>
      <c r="C215" s="46" t="s">
        <v>182</v>
      </c>
      <c r="D215" s="46" t="s">
        <v>109</v>
      </c>
      <c r="E215" s="7" t="str">
        <f aca="false">IF(C215="","",IFERROR(INDEX(cl_Regiao,MATCH(C215,cl_Nome,0)),""))</f>
        <v>Sudeste</v>
      </c>
      <c r="F215" s="46" t="s">
        <v>110</v>
      </c>
      <c r="G215" s="46" t="s">
        <v>224</v>
      </c>
      <c r="H215" s="47" t="n">
        <v>5200</v>
      </c>
      <c r="I215" s="48" t="n">
        <f aca="false">IF(G215="","",IFERROR(INDEX(pr_Prob,MATCH(G215,pr_Etapa,0)),0))</f>
        <v>0.25</v>
      </c>
      <c r="J215" s="49" t="n">
        <f aca="false">IF(H215="","",H215*I215)</f>
        <v>1300</v>
      </c>
      <c r="K215" s="45" t="n">
        <v>46262</v>
      </c>
      <c r="L215" s="45"/>
      <c r="M215" s="50" t="str">
        <f aca="false">IF(G215="","",IF(G215="Fechado ganho","Ganha",IF(G215="Fechado perdido","Perdida","Aberta")))</f>
        <v>Aberta</v>
      </c>
      <c r="N215" s="51" t="n">
        <f aca="false">IF(B215="","",IF(M215="Aberta",DataRef-B215,IF(L215="","",L215-B215)))</f>
        <v>143</v>
      </c>
      <c r="O215" s="50" t="str">
        <f aca="false">IF(M215&lt;&gt;"Aberta","",IF(AND(K215&lt;&gt;"",K215&lt;DataRef),"Previsão vencida",IF(N215&gt;DiasParada,"Parada","")))</f>
        <v>Previsão vencida</v>
      </c>
    </row>
    <row r="216" customFormat="false" ht="15" hidden="false" customHeight="false" outlineLevel="0" collapsed="false">
      <c r="A216" s="44" t="s">
        <v>365</v>
      </c>
      <c r="B216" s="45" t="n">
        <v>46165</v>
      </c>
      <c r="C216" s="46" t="s">
        <v>113</v>
      </c>
      <c r="D216" s="46" t="s">
        <v>114</v>
      </c>
      <c r="E216" s="7" t="str">
        <f aca="false">IF(C216="","",IFERROR(INDEX(cl_Regiao,MATCH(C216,cl_Nome,0)),""))</f>
        <v>Norte</v>
      </c>
      <c r="F216" s="46" t="s">
        <v>128</v>
      </c>
      <c r="G216" s="46" t="s">
        <v>124</v>
      </c>
      <c r="H216" s="47" t="n">
        <v>3700</v>
      </c>
      <c r="I216" s="48" t="n">
        <f aca="false">IF(G216="","",IFERROR(INDEX(pr_Prob,MATCH(G216,pr_Etapa,0)),0))</f>
        <v>0.5</v>
      </c>
      <c r="J216" s="49" t="n">
        <f aca="false">IF(H216="","",H216*I216)</f>
        <v>1850</v>
      </c>
      <c r="K216" s="45" t="n">
        <v>46239</v>
      </c>
      <c r="L216" s="45"/>
      <c r="M216" s="50" t="str">
        <f aca="false">IF(G216="","",IF(G216="Fechado ganho","Ganha",IF(G216="Fechado perdido","Perdida","Aberta")))</f>
        <v>Aberta</v>
      </c>
      <c r="N216" s="51" t="n">
        <f aca="false">IF(B216="","",IF(M216="Aberta",DataRef-B216,IF(L216="","",L216-B216)))</f>
        <v>143</v>
      </c>
      <c r="O216" s="50" t="str">
        <f aca="false">IF(M216&lt;&gt;"Aberta","",IF(AND(K216&lt;&gt;"",K216&lt;DataRef),"Previsão vencida",IF(N216&gt;DiasParada,"Parada","")))</f>
        <v>Previsão vencida</v>
      </c>
    </row>
    <row r="217" customFormat="false" ht="15" hidden="false" customHeight="false" outlineLevel="0" collapsed="false">
      <c r="A217" s="44" t="s">
        <v>366</v>
      </c>
      <c r="B217" s="45" t="n">
        <v>46166</v>
      </c>
      <c r="C217" s="46" t="s">
        <v>168</v>
      </c>
      <c r="D217" s="46" t="s">
        <v>127</v>
      </c>
      <c r="E217" s="7" t="str">
        <f aca="false">IF(C217="","",IFERROR(INDEX(cl_Regiao,MATCH(C217,cl_Nome,0)),""))</f>
        <v>Sul</v>
      </c>
      <c r="F217" s="46" t="s">
        <v>122</v>
      </c>
      <c r="G217" s="46" t="s">
        <v>116</v>
      </c>
      <c r="H217" s="47" t="n">
        <v>12700</v>
      </c>
      <c r="I217" s="48" t="n">
        <f aca="false">IF(G217="","",IFERROR(INDEX(pr_Prob,MATCH(G217,pr_Etapa,0)),0))</f>
        <v>1</v>
      </c>
      <c r="J217" s="49" t="n">
        <f aca="false">IF(H217="","",H217*I217)</f>
        <v>12700</v>
      </c>
      <c r="K217" s="45"/>
      <c r="L217" s="45" t="n">
        <v>46194</v>
      </c>
      <c r="M217" s="50" t="str">
        <f aca="false">IF(G217="","",IF(G217="Fechado ganho","Ganha",IF(G217="Fechado perdido","Perdida","Aberta")))</f>
        <v>Ganha</v>
      </c>
      <c r="N217" s="51" t="n">
        <f aca="false">IF(B217="","",IF(M217="Aberta",DataRef-B217,IF(L217="","",L217-B217)))</f>
        <v>28</v>
      </c>
      <c r="O217" s="50" t="str">
        <f aca="false">IF(M217&lt;&gt;"Aberta","",IF(AND(K217&lt;&gt;"",K217&lt;DataRef),"Previsão vencida",IF(N217&gt;DiasParada,"Parada","")))</f>
        <v/>
      </c>
    </row>
    <row r="218" customFormat="false" ht="15" hidden="false" customHeight="false" outlineLevel="0" collapsed="false">
      <c r="A218" s="44" t="s">
        <v>367</v>
      </c>
      <c r="B218" s="45" t="n">
        <v>46166</v>
      </c>
      <c r="C218" s="46" t="s">
        <v>201</v>
      </c>
      <c r="D218" s="46" t="s">
        <v>127</v>
      </c>
      <c r="E218" s="7" t="str">
        <f aca="false">IF(C218="","",IFERROR(INDEX(cl_Regiao,MATCH(C218,cl_Nome,0)),""))</f>
        <v>Sul</v>
      </c>
      <c r="F218" s="46" t="s">
        <v>128</v>
      </c>
      <c r="G218" s="46" t="s">
        <v>368</v>
      </c>
      <c r="H218" s="47" t="n">
        <v>22400</v>
      </c>
      <c r="I218" s="48" t="n">
        <f aca="false">IF(G218="","",IFERROR(INDEX(pr_Prob,MATCH(G218,pr_Etapa,0)),0))</f>
        <v>0.75</v>
      </c>
      <c r="J218" s="49" t="n">
        <f aca="false">IF(H218="","",H218*I218)</f>
        <v>16800</v>
      </c>
      <c r="K218" s="45" t="n">
        <v>46227</v>
      </c>
      <c r="L218" s="45"/>
      <c r="M218" s="50" t="str">
        <f aca="false">IF(G218="","",IF(G218="Fechado ganho","Ganha",IF(G218="Fechado perdido","Perdida","Aberta")))</f>
        <v>Aberta</v>
      </c>
      <c r="N218" s="51" t="n">
        <f aca="false">IF(B218="","",IF(M218="Aberta",DataRef-B218,IF(L218="","",L218-B218)))</f>
        <v>142</v>
      </c>
      <c r="O218" s="50" t="str">
        <f aca="false">IF(M218&lt;&gt;"Aberta","",IF(AND(K218&lt;&gt;"",K218&lt;DataRef),"Previsão vencida",IF(N218&gt;DiasParada,"Parada","")))</f>
        <v>Previsão vencida</v>
      </c>
    </row>
    <row r="219" customFormat="false" ht="15" hidden="false" customHeight="false" outlineLevel="0" collapsed="false">
      <c r="A219" s="44" t="s">
        <v>369</v>
      </c>
      <c r="B219" s="45" t="n">
        <v>46167</v>
      </c>
      <c r="C219" s="46" t="s">
        <v>158</v>
      </c>
      <c r="D219" s="46" t="s">
        <v>131</v>
      </c>
      <c r="E219" s="7" t="str">
        <f aca="false">IF(C219="","",IFERROR(INDEX(cl_Regiao,MATCH(C219,cl_Nome,0)),""))</f>
        <v>Centro-Oeste</v>
      </c>
      <c r="F219" s="46" t="s">
        <v>128</v>
      </c>
      <c r="G219" s="46" t="s">
        <v>111</v>
      </c>
      <c r="H219" s="47" t="n">
        <v>26500</v>
      </c>
      <c r="I219" s="48" t="n">
        <f aca="false">IF(G219="","",IFERROR(INDEX(pr_Prob,MATCH(G219,pr_Etapa,0)),0))</f>
        <v>0</v>
      </c>
      <c r="J219" s="49" t="n">
        <f aca="false">IF(H219="","",H219*I219)</f>
        <v>0</v>
      </c>
      <c r="K219" s="45"/>
      <c r="L219" s="45" t="n">
        <v>46242</v>
      </c>
      <c r="M219" s="50" t="str">
        <f aca="false">IF(G219="","",IF(G219="Fechado ganho","Ganha",IF(G219="Fechado perdido","Perdida","Aberta")))</f>
        <v>Perdida</v>
      </c>
      <c r="N219" s="51" t="n">
        <f aca="false">IF(B219="","",IF(M219="Aberta",DataRef-B219,IF(L219="","",L219-B219)))</f>
        <v>75</v>
      </c>
      <c r="O219" s="50" t="str">
        <f aca="false">IF(M219&lt;&gt;"Aberta","",IF(AND(K219&lt;&gt;"",K219&lt;DataRef),"Previsão vencida",IF(N219&gt;DiasParada,"Parada","")))</f>
        <v/>
      </c>
    </row>
    <row r="220" customFormat="false" ht="15" hidden="false" customHeight="false" outlineLevel="0" collapsed="false">
      <c r="A220" s="44" t="s">
        <v>370</v>
      </c>
      <c r="B220" s="45" t="n">
        <v>46167</v>
      </c>
      <c r="C220" s="46" t="s">
        <v>164</v>
      </c>
      <c r="D220" s="46" t="s">
        <v>165</v>
      </c>
      <c r="E220" s="7" t="str">
        <f aca="false">IF(C220="","",IFERROR(INDEX(cl_Regiao,MATCH(C220,cl_Nome,0)),""))</f>
        <v>Nordeste</v>
      </c>
      <c r="F220" s="46" t="s">
        <v>122</v>
      </c>
      <c r="G220" s="46" t="s">
        <v>116</v>
      </c>
      <c r="H220" s="47" t="n">
        <v>4300</v>
      </c>
      <c r="I220" s="48" t="n">
        <f aca="false">IF(G220="","",IFERROR(INDEX(pr_Prob,MATCH(G220,pr_Etapa,0)),0))</f>
        <v>1</v>
      </c>
      <c r="J220" s="49" t="n">
        <f aca="false">IF(H220="","",H220*I220)</f>
        <v>4300</v>
      </c>
      <c r="K220" s="45"/>
      <c r="L220" s="45" t="n">
        <v>46216</v>
      </c>
      <c r="M220" s="50" t="str">
        <f aca="false">IF(G220="","",IF(G220="Fechado ganho","Ganha",IF(G220="Fechado perdido","Perdida","Aberta")))</f>
        <v>Ganha</v>
      </c>
      <c r="N220" s="51" t="n">
        <f aca="false">IF(B220="","",IF(M220="Aberta",DataRef-B220,IF(L220="","",L220-B220)))</f>
        <v>49</v>
      </c>
      <c r="O220" s="50" t="str">
        <f aca="false">IF(M220&lt;&gt;"Aberta","",IF(AND(K220&lt;&gt;"",K220&lt;DataRef),"Previsão vencida",IF(N220&gt;DiasParada,"Parada","")))</f>
        <v/>
      </c>
    </row>
    <row r="221" customFormat="false" ht="15" hidden="false" customHeight="false" outlineLevel="0" collapsed="false">
      <c r="A221" s="44" t="s">
        <v>371</v>
      </c>
      <c r="B221" s="45" t="n">
        <v>46170</v>
      </c>
      <c r="C221" s="46" t="s">
        <v>145</v>
      </c>
      <c r="D221" s="46" t="s">
        <v>114</v>
      </c>
      <c r="E221" s="7" t="str">
        <f aca="false">IF(C221="","",IFERROR(INDEX(cl_Regiao,MATCH(C221,cl_Nome,0)),""))</f>
        <v>Norte</v>
      </c>
      <c r="F221" s="46" t="s">
        <v>110</v>
      </c>
      <c r="G221" s="46" t="s">
        <v>116</v>
      </c>
      <c r="H221" s="47" t="n">
        <v>3600</v>
      </c>
      <c r="I221" s="48" t="n">
        <f aca="false">IF(G221="","",IFERROR(INDEX(pr_Prob,MATCH(G221,pr_Etapa,0)),0))</f>
        <v>1</v>
      </c>
      <c r="J221" s="49" t="n">
        <f aca="false">IF(H221="","",H221*I221)</f>
        <v>3600</v>
      </c>
      <c r="K221" s="45"/>
      <c r="L221" s="45" t="n">
        <v>46228</v>
      </c>
      <c r="M221" s="50" t="str">
        <f aca="false">IF(G221="","",IF(G221="Fechado ganho","Ganha",IF(G221="Fechado perdido","Perdida","Aberta")))</f>
        <v>Ganha</v>
      </c>
      <c r="N221" s="51" t="n">
        <f aca="false">IF(B221="","",IF(M221="Aberta",DataRef-B221,IF(L221="","",L221-B221)))</f>
        <v>58</v>
      </c>
      <c r="O221" s="50" t="str">
        <f aca="false">IF(M221&lt;&gt;"Aberta","",IF(AND(K221&lt;&gt;"",K221&lt;DataRef),"Previsão vencida",IF(N221&gt;DiasParada,"Parada","")))</f>
        <v/>
      </c>
    </row>
    <row r="222" customFormat="false" ht="15" hidden="false" customHeight="false" outlineLevel="0" collapsed="false">
      <c r="A222" s="44" t="s">
        <v>372</v>
      </c>
      <c r="B222" s="45" t="n">
        <v>46170</v>
      </c>
      <c r="C222" s="46" t="s">
        <v>171</v>
      </c>
      <c r="D222" s="46" t="s">
        <v>165</v>
      </c>
      <c r="E222" s="7" t="str">
        <f aca="false">IF(C222="","",IFERROR(INDEX(cl_Regiao,MATCH(C222,cl_Nome,0)),""))</f>
        <v>Nordeste</v>
      </c>
      <c r="F222" s="46" t="s">
        <v>110</v>
      </c>
      <c r="G222" s="46" t="s">
        <v>116</v>
      </c>
      <c r="H222" s="47" t="n">
        <v>12300</v>
      </c>
      <c r="I222" s="48" t="n">
        <f aca="false">IF(G222="","",IFERROR(INDEX(pr_Prob,MATCH(G222,pr_Etapa,0)),0))</f>
        <v>1</v>
      </c>
      <c r="J222" s="49" t="n">
        <f aca="false">IF(H222="","",H222*I222)</f>
        <v>12300</v>
      </c>
      <c r="K222" s="45"/>
      <c r="L222" s="45" t="n">
        <v>46198</v>
      </c>
      <c r="M222" s="50" t="str">
        <f aca="false">IF(G222="","",IF(G222="Fechado ganho","Ganha",IF(G222="Fechado perdido","Perdida","Aberta")))</f>
        <v>Ganha</v>
      </c>
      <c r="N222" s="51" t="n">
        <f aca="false">IF(B222="","",IF(M222="Aberta",DataRef-B222,IF(L222="","",L222-B222)))</f>
        <v>28</v>
      </c>
      <c r="O222" s="50" t="str">
        <f aca="false">IF(M222&lt;&gt;"Aberta","",IF(AND(K222&lt;&gt;"",K222&lt;DataRef),"Previsão vencida",IF(N222&gt;DiasParada,"Parada","")))</f>
        <v/>
      </c>
    </row>
    <row r="223" customFormat="false" ht="15" hidden="false" customHeight="false" outlineLevel="0" collapsed="false">
      <c r="A223" s="44" t="s">
        <v>373</v>
      </c>
      <c r="B223" s="45" t="n">
        <v>46172</v>
      </c>
      <c r="C223" s="46" t="s">
        <v>135</v>
      </c>
      <c r="D223" s="46" t="s">
        <v>119</v>
      </c>
      <c r="E223" s="7" t="str">
        <f aca="false">IF(C223="","",IFERROR(INDEX(cl_Regiao,MATCH(C223,cl_Nome,0)),""))</f>
        <v>Sudeste</v>
      </c>
      <c r="F223" s="46" t="s">
        <v>110</v>
      </c>
      <c r="G223" s="46" t="s">
        <v>116</v>
      </c>
      <c r="H223" s="47" t="n">
        <v>2100</v>
      </c>
      <c r="I223" s="48" t="n">
        <f aca="false">IF(G223="","",IFERROR(INDEX(pr_Prob,MATCH(G223,pr_Etapa,0)),0))</f>
        <v>1</v>
      </c>
      <c r="J223" s="49" t="n">
        <f aca="false">IF(H223="","",H223*I223)</f>
        <v>2100</v>
      </c>
      <c r="K223" s="45"/>
      <c r="L223" s="45" t="n">
        <v>46224</v>
      </c>
      <c r="M223" s="50" t="str">
        <f aca="false">IF(G223="","",IF(G223="Fechado ganho","Ganha",IF(G223="Fechado perdido","Perdida","Aberta")))</f>
        <v>Ganha</v>
      </c>
      <c r="N223" s="51" t="n">
        <f aca="false">IF(B223="","",IF(M223="Aberta",DataRef-B223,IF(L223="","",L223-B223)))</f>
        <v>52</v>
      </c>
      <c r="O223" s="50" t="str">
        <f aca="false">IF(M223&lt;&gt;"Aberta","",IF(AND(K223&lt;&gt;"",K223&lt;DataRef),"Previsão vencida",IF(N223&gt;DiasParada,"Parada","")))</f>
        <v/>
      </c>
    </row>
    <row r="224" customFormat="false" ht="15" hidden="false" customHeight="false" outlineLevel="0" collapsed="false">
      <c r="A224" s="44" t="s">
        <v>374</v>
      </c>
      <c r="B224" s="45" t="n">
        <v>46173</v>
      </c>
      <c r="C224" s="46" t="s">
        <v>145</v>
      </c>
      <c r="D224" s="46" t="s">
        <v>114</v>
      </c>
      <c r="E224" s="7" t="str">
        <f aca="false">IF(C224="","",IFERROR(INDEX(cl_Regiao,MATCH(C224,cl_Nome,0)),""))</f>
        <v>Norte</v>
      </c>
      <c r="F224" s="46" t="s">
        <v>122</v>
      </c>
      <c r="G224" s="46" t="s">
        <v>361</v>
      </c>
      <c r="H224" s="47" t="n">
        <v>22300</v>
      </c>
      <c r="I224" s="48" t="n">
        <f aca="false">IF(G224="","",IFERROR(INDEX(pr_Prob,MATCH(G224,pr_Etapa,0)),0))</f>
        <v>0.1</v>
      </c>
      <c r="J224" s="49" t="n">
        <f aca="false">IF(H224="","",H224*I224)</f>
        <v>2230</v>
      </c>
      <c r="K224" s="45" t="n">
        <v>46244</v>
      </c>
      <c r="L224" s="45"/>
      <c r="M224" s="50" t="str">
        <f aca="false">IF(G224="","",IF(G224="Fechado ganho","Ganha",IF(G224="Fechado perdido","Perdida","Aberta")))</f>
        <v>Aberta</v>
      </c>
      <c r="N224" s="51" t="n">
        <f aca="false">IF(B224="","",IF(M224="Aberta",DataRef-B224,IF(L224="","",L224-B224)))</f>
        <v>135</v>
      </c>
      <c r="O224" s="50" t="str">
        <f aca="false">IF(M224&lt;&gt;"Aberta","",IF(AND(K224&lt;&gt;"",K224&lt;DataRef),"Previsão vencida",IF(N224&gt;DiasParada,"Parada","")))</f>
        <v>Previsão vencida</v>
      </c>
    </row>
    <row r="225" customFormat="false" ht="15" hidden="false" customHeight="false" outlineLevel="0" collapsed="false">
      <c r="A225" s="44" t="s">
        <v>375</v>
      </c>
      <c r="B225" s="45" t="n">
        <v>46175</v>
      </c>
      <c r="C225" s="46" t="s">
        <v>153</v>
      </c>
      <c r="D225" s="46" t="s">
        <v>131</v>
      </c>
      <c r="E225" s="7" t="str">
        <f aca="false">IF(C225="","",IFERROR(INDEX(cl_Regiao,MATCH(C225,cl_Nome,0)),""))</f>
        <v>Centro-Oeste</v>
      </c>
      <c r="F225" s="46" t="s">
        <v>122</v>
      </c>
      <c r="G225" s="46" t="s">
        <v>111</v>
      </c>
      <c r="H225" s="47" t="n">
        <v>11700</v>
      </c>
      <c r="I225" s="48" t="n">
        <f aca="false">IF(G225="","",IFERROR(INDEX(pr_Prob,MATCH(G225,pr_Etapa,0)),0))</f>
        <v>0</v>
      </c>
      <c r="J225" s="49" t="n">
        <f aca="false">IF(H225="","",H225*I225)</f>
        <v>0</v>
      </c>
      <c r="K225" s="45"/>
      <c r="L225" s="45" t="n">
        <v>46240</v>
      </c>
      <c r="M225" s="50" t="str">
        <f aca="false">IF(G225="","",IF(G225="Fechado ganho","Ganha",IF(G225="Fechado perdido","Perdida","Aberta")))</f>
        <v>Perdida</v>
      </c>
      <c r="N225" s="51" t="n">
        <f aca="false">IF(B225="","",IF(M225="Aberta",DataRef-B225,IF(L225="","",L225-B225)))</f>
        <v>65</v>
      </c>
      <c r="O225" s="50" t="str">
        <f aca="false">IF(M225&lt;&gt;"Aberta","",IF(AND(K225&lt;&gt;"",K225&lt;DataRef),"Previsão vencida",IF(N225&gt;DiasParada,"Parada","")))</f>
        <v/>
      </c>
    </row>
    <row r="226" customFormat="false" ht="15" hidden="false" customHeight="false" outlineLevel="0" collapsed="false">
      <c r="A226" s="44" t="s">
        <v>376</v>
      </c>
      <c r="B226" s="45" t="n">
        <v>46175</v>
      </c>
      <c r="C226" s="46" t="s">
        <v>175</v>
      </c>
      <c r="D226" s="46" t="s">
        <v>114</v>
      </c>
      <c r="E226" s="7" t="str">
        <f aca="false">IF(C226="","",IFERROR(INDEX(cl_Regiao,MATCH(C226,cl_Nome,0)),""))</f>
        <v>Norte</v>
      </c>
      <c r="F226" s="46" t="s">
        <v>128</v>
      </c>
      <c r="G226" s="46" t="s">
        <v>368</v>
      </c>
      <c r="H226" s="47" t="n">
        <v>77000</v>
      </c>
      <c r="I226" s="48" t="n">
        <f aca="false">IF(G226="","",IFERROR(INDEX(pr_Prob,MATCH(G226,pr_Etapa,0)),0))</f>
        <v>0.75</v>
      </c>
      <c r="J226" s="49" t="n">
        <f aca="false">IF(H226="","",H226*I226)</f>
        <v>57750</v>
      </c>
      <c r="K226" s="45" t="n">
        <v>46272</v>
      </c>
      <c r="L226" s="45"/>
      <c r="M226" s="50" t="str">
        <f aca="false">IF(G226="","",IF(G226="Fechado ganho","Ganha",IF(G226="Fechado perdido","Perdida","Aberta")))</f>
        <v>Aberta</v>
      </c>
      <c r="N226" s="51" t="n">
        <f aca="false">IF(B226="","",IF(M226="Aberta",DataRef-B226,IF(L226="","",L226-B226)))</f>
        <v>133</v>
      </c>
      <c r="O226" s="50" t="str">
        <f aca="false">IF(M226&lt;&gt;"Aberta","",IF(AND(K226&lt;&gt;"",K226&lt;DataRef),"Previsão vencida",IF(N226&gt;DiasParada,"Parada","")))</f>
        <v>Previsão vencida</v>
      </c>
    </row>
    <row r="227" customFormat="false" ht="15" hidden="false" customHeight="false" outlineLevel="0" collapsed="false">
      <c r="A227" s="44" t="s">
        <v>377</v>
      </c>
      <c r="B227" s="45" t="n">
        <v>46176</v>
      </c>
      <c r="C227" s="46" t="s">
        <v>175</v>
      </c>
      <c r="D227" s="46" t="s">
        <v>114</v>
      </c>
      <c r="E227" s="7" t="str">
        <f aca="false">IF(C227="","",IFERROR(INDEX(cl_Regiao,MATCH(C227,cl_Nome,0)),""))</f>
        <v>Norte</v>
      </c>
      <c r="F227" s="46" t="s">
        <v>122</v>
      </c>
      <c r="G227" s="46" t="s">
        <v>111</v>
      </c>
      <c r="H227" s="47" t="n">
        <v>34400</v>
      </c>
      <c r="I227" s="48" t="n">
        <f aca="false">IF(G227="","",IFERROR(INDEX(pr_Prob,MATCH(G227,pr_Etapa,0)),0))</f>
        <v>0</v>
      </c>
      <c r="J227" s="49" t="n">
        <f aca="false">IF(H227="","",H227*I227)</f>
        <v>0</v>
      </c>
      <c r="K227" s="45"/>
      <c r="L227" s="45" t="n">
        <v>46190</v>
      </c>
      <c r="M227" s="50" t="str">
        <f aca="false">IF(G227="","",IF(G227="Fechado ganho","Ganha",IF(G227="Fechado perdido","Perdida","Aberta")))</f>
        <v>Perdida</v>
      </c>
      <c r="N227" s="51" t="n">
        <f aca="false">IF(B227="","",IF(M227="Aberta",DataRef-B227,IF(L227="","",L227-B227)))</f>
        <v>14</v>
      </c>
      <c r="O227" s="50" t="str">
        <f aca="false">IF(M227&lt;&gt;"Aberta","",IF(AND(K227&lt;&gt;"",K227&lt;DataRef),"Previsão vencida",IF(N227&gt;DiasParada,"Parada","")))</f>
        <v/>
      </c>
    </row>
    <row r="228" customFormat="false" ht="15" hidden="false" customHeight="false" outlineLevel="0" collapsed="false">
      <c r="A228" s="44" t="s">
        <v>378</v>
      </c>
      <c r="B228" s="45" t="n">
        <v>46177</v>
      </c>
      <c r="C228" s="46" t="s">
        <v>145</v>
      </c>
      <c r="D228" s="46" t="s">
        <v>114</v>
      </c>
      <c r="E228" s="7" t="str">
        <f aca="false">IF(C228="","",IFERROR(INDEX(cl_Regiao,MATCH(C228,cl_Nome,0)),""))</f>
        <v>Norte</v>
      </c>
      <c r="F228" s="46" t="s">
        <v>128</v>
      </c>
      <c r="G228" s="46" t="s">
        <v>111</v>
      </c>
      <c r="H228" s="47" t="n">
        <v>45400</v>
      </c>
      <c r="I228" s="48" t="n">
        <f aca="false">IF(G228="","",IFERROR(INDEX(pr_Prob,MATCH(G228,pr_Etapa,0)),0))</f>
        <v>0</v>
      </c>
      <c r="J228" s="49" t="n">
        <f aca="false">IF(H228="","",H228*I228)</f>
        <v>0</v>
      </c>
      <c r="K228" s="45"/>
      <c r="L228" s="45" t="n">
        <v>46224</v>
      </c>
      <c r="M228" s="50" t="str">
        <f aca="false">IF(G228="","",IF(G228="Fechado ganho","Ganha",IF(G228="Fechado perdido","Perdida","Aberta")))</f>
        <v>Perdida</v>
      </c>
      <c r="N228" s="51" t="n">
        <f aca="false">IF(B228="","",IF(M228="Aberta",DataRef-B228,IF(L228="","",L228-B228)))</f>
        <v>47</v>
      </c>
      <c r="O228" s="50" t="str">
        <f aca="false">IF(M228&lt;&gt;"Aberta","",IF(AND(K228&lt;&gt;"",K228&lt;DataRef),"Previsão vencida",IF(N228&gt;DiasParada,"Parada","")))</f>
        <v/>
      </c>
    </row>
    <row r="229" customFormat="false" ht="15" hidden="false" customHeight="false" outlineLevel="0" collapsed="false">
      <c r="A229" s="44" t="s">
        <v>379</v>
      </c>
      <c r="B229" s="45" t="n">
        <v>46177</v>
      </c>
      <c r="C229" s="46" t="s">
        <v>141</v>
      </c>
      <c r="D229" s="46" t="s">
        <v>109</v>
      </c>
      <c r="E229" s="7" t="str">
        <f aca="false">IF(C229="","",IFERROR(INDEX(cl_Regiao,MATCH(C229,cl_Nome,0)),""))</f>
        <v>Sudeste</v>
      </c>
      <c r="F229" s="46" t="s">
        <v>115</v>
      </c>
      <c r="G229" s="46" t="s">
        <v>116</v>
      </c>
      <c r="H229" s="47" t="n">
        <v>44900</v>
      </c>
      <c r="I229" s="48" t="n">
        <f aca="false">IF(G229="","",IFERROR(INDEX(pr_Prob,MATCH(G229,pr_Etapa,0)),0))</f>
        <v>1</v>
      </c>
      <c r="J229" s="49" t="n">
        <f aca="false">IF(H229="","",H229*I229)</f>
        <v>44900</v>
      </c>
      <c r="K229" s="45"/>
      <c r="L229" s="45" t="n">
        <v>46214</v>
      </c>
      <c r="M229" s="50" t="str">
        <f aca="false">IF(G229="","",IF(G229="Fechado ganho","Ganha",IF(G229="Fechado perdido","Perdida","Aberta")))</f>
        <v>Ganha</v>
      </c>
      <c r="N229" s="51" t="n">
        <f aca="false">IF(B229="","",IF(M229="Aberta",DataRef-B229,IF(L229="","",L229-B229)))</f>
        <v>37</v>
      </c>
      <c r="O229" s="50" t="str">
        <f aca="false">IF(M229&lt;&gt;"Aberta","",IF(AND(K229&lt;&gt;"",K229&lt;DataRef),"Previsão vencida",IF(N229&gt;DiasParada,"Parada","")))</f>
        <v/>
      </c>
    </row>
    <row r="230" customFormat="false" ht="15" hidden="false" customHeight="false" outlineLevel="0" collapsed="false">
      <c r="A230" s="44" t="s">
        <v>380</v>
      </c>
      <c r="B230" s="45" t="n">
        <v>46177</v>
      </c>
      <c r="C230" s="46" t="s">
        <v>207</v>
      </c>
      <c r="D230" s="46" t="s">
        <v>165</v>
      </c>
      <c r="E230" s="7" t="str">
        <f aca="false">IF(C230="","",IFERROR(INDEX(cl_Regiao,MATCH(C230,cl_Nome,0)),""))</f>
        <v>Nordeste</v>
      </c>
      <c r="F230" s="46" t="s">
        <v>115</v>
      </c>
      <c r="G230" s="46" t="s">
        <v>116</v>
      </c>
      <c r="H230" s="47" t="n">
        <v>31600</v>
      </c>
      <c r="I230" s="48" t="n">
        <f aca="false">IF(G230="","",IFERROR(INDEX(pr_Prob,MATCH(G230,pr_Etapa,0)),0))</f>
        <v>1</v>
      </c>
      <c r="J230" s="49" t="n">
        <f aca="false">IF(H230="","",H230*I230)</f>
        <v>31600</v>
      </c>
      <c r="K230" s="45"/>
      <c r="L230" s="45" t="n">
        <v>46224</v>
      </c>
      <c r="M230" s="50" t="str">
        <f aca="false">IF(G230="","",IF(G230="Fechado ganho","Ganha",IF(G230="Fechado perdido","Perdida","Aberta")))</f>
        <v>Ganha</v>
      </c>
      <c r="N230" s="51" t="n">
        <f aca="false">IF(B230="","",IF(M230="Aberta",DataRef-B230,IF(L230="","",L230-B230)))</f>
        <v>47</v>
      </c>
      <c r="O230" s="50" t="str">
        <f aca="false">IF(M230&lt;&gt;"Aberta","",IF(AND(K230&lt;&gt;"",K230&lt;DataRef),"Previsão vencida",IF(N230&gt;DiasParada,"Parada","")))</f>
        <v/>
      </c>
    </row>
    <row r="231" customFormat="false" ht="15" hidden="false" customHeight="false" outlineLevel="0" collapsed="false">
      <c r="A231" s="44" t="s">
        <v>381</v>
      </c>
      <c r="B231" s="45" t="n">
        <v>46178</v>
      </c>
      <c r="C231" s="46" t="s">
        <v>121</v>
      </c>
      <c r="D231" s="46" t="s">
        <v>119</v>
      </c>
      <c r="E231" s="7" t="str">
        <f aca="false">IF(C231="","",IFERROR(INDEX(cl_Regiao,MATCH(C231,cl_Nome,0)),""))</f>
        <v>Sudeste</v>
      </c>
      <c r="F231" s="46" t="s">
        <v>110</v>
      </c>
      <c r="G231" s="46" t="s">
        <v>116</v>
      </c>
      <c r="H231" s="47" t="n">
        <v>20100</v>
      </c>
      <c r="I231" s="48" t="n">
        <f aca="false">IF(G231="","",IFERROR(INDEX(pr_Prob,MATCH(G231,pr_Etapa,0)),0))</f>
        <v>1</v>
      </c>
      <c r="J231" s="49" t="n">
        <f aca="false">IF(H231="","",H231*I231)</f>
        <v>20100</v>
      </c>
      <c r="K231" s="45"/>
      <c r="L231" s="45" t="n">
        <v>46202</v>
      </c>
      <c r="M231" s="50" t="str">
        <f aca="false">IF(G231="","",IF(G231="Fechado ganho","Ganha",IF(G231="Fechado perdido","Perdida","Aberta")))</f>
        <v>Ganha</v>
      </c>
      <c r="N231" s="51" t="n">
        <f aca="false">IF(B231="","",IF(M231="Aberta",DataRef-B231,IF(L231="","",L231-B231)))</f>
        <v>24</v>
      </c>
      <c r="O231" s="50" t="str">
        <f aca="false">IF(M231&lt;&gt;"Aberta","",IF(AND(K231&lt;&gt;"",K231&lt;DataRef),"Previsão vencida",IF(N231&gt;DiasParada,"Parada","")))</f>
        <v/>
      </c>
    </row>
    <row r="232" customFormat="false" ht="15" hidden="false" customHeight="false" outlineLevel="0" collapsed="false">
      <c r="A232" s="44" t="s">
        <v>382</v>
      </c>
      <c r="B232" s="45" t="n">
        <v>46179</v>
      </c>
      <c r="C232" s="46" t="s">
        <v>126</v>
      </c>
      <c r="D232" s="46" t="s">
        <v>127</v>
      </c>
      <c r="E232" s="7" t="str">
        <f aca="false">IF(C232="","",IFERROR(INDEX(cl_Regiao,MATCH(C232,cl_Nome,0)),""))</f>
        <v>Sul</v>
      </c>
      <c r="F232" s="46" t="s">
        <v>110</v>
      </c>
      <c r="G232" s="46" t="s">
        <v>116</v>
      </c>
      <c r="H232" s="47" t="n">
        <v>20700</v>
      </c>
      <c r="I232" s="48" t="n">
        <f aca="false">IF(G232="","",IFERROR(INDEX(pr_Prob,MATCH(G232,pr_Etapa,0)),0))</f>
        <v>1</v>
      </c>
      <c r="J232" s="49" t="n">
        <f aca="false">IF(H232="","",H232*I232)</f>
        <v>20700</v>
      </c>
      <c r="K232" s="45"/>
      <c r="L232" s="45" t="n">
        <v>46230</v>
      </c>
      <c r="M232" s="50" t="str">
        <f aca="false">IF(G232="","",IF(G232="Fechado ganho","Ganha",IF(G232="Fechado perdido","Perdida","Aberta")))</f>
        <v>Ganha</v>
      </c>
      <c r="N232" s="51" t="n">
        <f aca="false">IF(B232="","",IF(M232="Aberta",DataRef-B232,IF(L232="","",L232-B232)))</f>
        <v>51</v>
      </c>
      <c r="O232" s="50" t="str">
        <f aca="false">IF(M232&lt;&gt;"Aberta","",IF(AND(K232&lt;&gt;"",K232&lt;DataRef),"Previsão vencida",IF(N232&gt;DiasParada,"Parada","")))</f>
        <v/>
      </c>
    </row>
    <row r="233" customFormat="false" ht="15" hidden="false" customHeight="false" outlineLevel="0" collapsed="false">
      <c r="A233" s="44" t="s">
        <v>383</v>
      </c>
      <c r="B233" s="45" t="n">
        <v>46180</v>
      </c>
      <c r="C233" s="46" t="s">
        <v>182</v>
      </c>
      <c r="D233" s="46" t="s">
        <v>109</v>
      </c>
      <c r="E233" s="7" t="str">
        <f aca="false">IF(C233="","",IFERROR(INDEX(cl_Regiao,MATCH(C233,cl_Nome,0)),""))</f>
        <v>Sudeste</v>
      </c>
      <c r="F233" s="46" t="s">
        <v>122</v>
      </c>
      <c r="G233" s="46" t="s">
        <v>124</v>
      </c>
      <c r="H233" s="47" t="n">
        <v>3700</v>
      </c>
      <c r="I233" s="48" t="n">
        <f aca="false">IF(G233="","",IFERROR(INDEX(pr_Prob,MATCH(G233,pr_Etapa,0)),0))</f>
        <v>0.5</v>
      </c>
      <c r="J233" s="49" t="n">
        <f aca="false">IF(H233="","",H233*I233)</f>
        <v>1850</v>
      </c>
      <c r="K233" s="45" t="n">
        <v>46296</v>
      </c>
      <c r="L233" s="45"/>
      <c r="M233" s="50" t="str">
        <f aca="false">IF(G233="","",IF(G233="Fechado ganho","Ganha",IF(G233="Fechado perdido","Perdida","Aberta")))</f>
        <v>Aberta</v>
      </c>
      <c r="N233" s="51" t="n">
        <f aca="false">IF(B233="","",IF(M233="Aberta",DataRef-B233,IF(L233="","",L233-B233)))</f>
        <v>128</v>
      </c>
      <c r="O233" s="50" t="str">
        <f aca="false">IF(M233&lt;&gt;"Aberta","",IF(AND(K233&lt;&gt;"",K233&lt;DataRef),"Previsão vencida",IF(N233&gt;DiasParada,"Parada","")))</f>
        <v>Previsão vencida</v>
      </c>
    </row>
    <row r="234" customFormat="false" ht="15" hidden="false" customHeight="false" outlineLevel="0" collapsed="false">
      <c r="A234" s="44" t="s">
        <v>384</v>
      </c>
      <c r="B234" s="45" t="n">
        <v>46181</v>
      </c>
      <c r="C234" s="46" t="s">
        <v>162</v>
      </c>
      <c r="D234" s="46" t="s">
        <v>131</v>
      </c>
      <c r="E234" s="7" t="str">
        <f aca="false">IF(C234="","",IFERROR(INDEX(cl_Regiao,MATCH(C234,cl_Nome,0)),""))</f>
        <v>Centro-Oeste</v>
      </c>
      <c r="F234" s="46" t="s">
        <v>128</v>
      </c>
      <c r="G234" s="46" t="s">
        <v>116</v>
      </c>
      <c r="H234" s="47" t="n">
        <v>19300</v>
      </c>
      <c r="I234" s="48" t="n">
        <f aca="false">IF(G234="","",IFERROR(INDEX(pr_Prob,MATCH(G234,pr_Etapa,0)),0))</f>
        <v>1</v>
      </c>
      <c r="J234" s="49" t="n">
        <f aca="false">IF(H234="","",H234*I234)</f>
        <v>19300</v>
      </c>
      <c r="K234" s="45"/>
      <c r="L234" s="45" t="n">
        <v>46207</v>
      </c>
      <c r="M234" s="50" t="str">
        <f aca="false">IF(G234="","",IF(G234="Fechado ganho","Ganha",IF(G234="Fechado perdido","Perdida","Aberta")))</f>
        <v>Ganha</v>
      </c>
      <c r="N234" s="51" t="n">
        <f aca="false">IF(B234="","",IF(M234="Aberta",DataRef-B234,IF(L234="","",L234-B234)))</f>
        <v>26</v>
      </c>
      <c r="O234" s="50" t="str">
        <f aca="false">IF(M234&lt;&gt;"Aberta","",IF(AND(K234&lt;&gt;"",K234&lt;DataRef),"Previsão vencida",IF(N234&gt;DiasParada,"Parada","")))</f>
        <v/>
      </c>
    </row>
    <row r="235" customFormat="false" ht="15" hidden="false" customHeight="false" outlineLevel="0" collapsed="false">
      <c r="A235" s="44" t="s">
        <v>385</v>
      </c>
      <c r="B235" s="45" t="n">
        <v>46181</v>
      </c>
      <c r="C235" s="46" t="s">
        <v>164</v>
      </c>
      <c r="D235" s="46" t="s">
        <v>165</v>
      </c>
      <c r="E235" s="7" t="str">
        <f aca="false">IF(C235="","",IFERROR(INDEX(cl_Regiao,MATCH(C235,cl_Nome,0)),""))</f>
        <v>Nordeste</v>
      </c>
      <c r="F235" s="46" t="s">
        <v>110</v>
      </c>
      <c r="G235" s="46" t="s">
        <v>368</v>
      </c>
      <c r="H235" s="47" t="n">
        <v>5200</v>
      </c>
      <c r="I235" s="48" t="n">
        <f aca="false">IF(G235="","",IFERROR(INDEX(pr_Prob,MATCH(G235,pr_Etapa,0)),0))</f>
        <v>0.75</v>
      </c>
      <c r="J235" s="49" t="n">
        <f aca="false">IF(H235="","",H235*I235)</f>
        <v>3900</v>
      </c>
      <c r="K235" s="45" t="n">
        <v>46301</v>
      </c>
      <c r="L235" s="45"/>
      <c r="M235" s="50" t="str">
        <f aca="false">IF(G235="","",IF(G235="Fechado ganho","Ganha",IF(G235="Fechado perdido","Perdida","Aberta")))</f>
        <v>Aberta</v>
      </c>
      <c r="N235" s="51" t="n">
        <f aca="false">IF(B235="","",IF(M235="Aberta",DataRef-B235,IF(L235="","",L235-B235)))</f>
        <v>127</v>
      </c>
      <c r="O235" s="50" t="str">
        <f aca="false">IF(M235&lt;&gt;"Aberta","",IF(AND(K235&lt;&gt;"",K235&lt;DataRef),"Previsão vencida",IF(N235&gt;DiasParada,"Parada","")))</f>
        <v>Previsão vencida</v>
      </c>
    </row>
    <row r="236" customFormat="false" ht="15" hidden="false" customHeight="false" outlineLevel="0" collapsed="false">
      <c r="A236" s="44" t="s">
        <v>386</v>
      </c>
      <c r="B236" s="45" t="n">
        <v>46182</v>
      </c>
      <c r="C236" s="46" t="s">
        <v>148</v>
      </c>
      <c r="D236" s="46" t="s">
        <v>109</v>
      </c>
      <c r="E236" s="7" t="str">
        <f aca="false">IF(C236="","",IFERROR(INDEX(cl_Regiao,MATCH(C236,cl_Nome,0)),""))</f>
        <v>Sudeste</v>
      </c>
      <c r="F236" s="46" t="s">
        <v>110</v>
      </c>
      <c r="G236" s="46" t="s">
        <v>124</v>
      </c>
      <c r="H236" s="47" t="n">
        <v>14300</v>
      </c>
      <c r="I236" s="48" t="n">
        <f aca="false">IF(G236="","",IFERROR(INDEX(pr_Prob,MATCH(G236,pr_Etapa,0)),0))</f>
        <v>0.5</v>
      </c>
      <c r="J236" s="49" t="n">
        <f aca="false">IF(H236="","",H236*I236)</f>
        <v>7150</v>
      </c>
      <c r="K236" s="45" t="n">
        <v>46277</v>
      </c>
      <c r="L236" s="45"/>
      <c r="M236" s="50" t="str">
        <f aca="false">IF(G236="","",IF(G236="Fechado ganho","Ganha",IF(G236="Fechado perdido","Perdida","Aberta")))</f>
        <v>Aberta</v>
      </c>
      <c r="N236" s="51" t="n">
        <f aca="false">IF(B236="","",IF(M236="Aberta",DataRef-B236,IF(L236="","",L236-B236)))</f>
        <v>126</v>
      </c>
      <c r="O236" s="50" t="str">
        <f aca="false">IF(M236&lt;&gt;"Aberta","",IF(AND(K236&lt;&gt;"",K236&lt;DataRef),"Previsão vencida",IF(N236&gt;DiasParada,"Parada","")))</f>
        <v>Previsão vencida</v>
      </c>
    </row>
    <row r="237" customFormat="false" ht="15" hidden="false" customHeight="false" outlineLevel="0" collapsed="false">
      <c r="A237" s="44" t="s">
        <v>387</v>
      </c>
      <c r="B237" s="45" t="n">
        <v>46183</v>
      </c>
      <c r="C237" s="46" t="s">
        <v>113</v>
      </c>
      <c r="D237" s="46" t="s">
        <v>114</v>
      </c>
      <c r="E237" s="7" t="str">
        <f aca="false">IF(C237="","",IFERROR(INDEX(cl_Regiao,MATCH(C237,cl_Nome,0)),""))</f>
        <v>Norte</v>
      </c>
      <c r="F237" s="46" t="s">
        <v>110</v>
      </c>
      <c r="G237" s="46" t="s">
        <v>116</v>
      </c>
      <c r="H237" s="47" t="n">
        <v>3500</v>
      </c>
      <c r="I237" s="48" t="n">
        <f aca="false">IF(G237="","",IFERROR(INDEX(pr_Prob,MATCH(G237,pr_Etapa,0)),0))</f>
        <v>1</v>
      </c>
      <c r="J237" s="49" t="n">
        <f aca="false">IF(H237="","",H237*I237)</f>
        <v>3500</v>
      </c>
      <c r="K237" s="45"/>
      <c r="L237" s="45" t="n">
        <v>46218</v>
      </c>
      <c r="M237" s="50" t="str">
        <f aca="false">IF(G237="","",IF(G237="Fechado ganho","Ganha",IF(G237="Fechado perdido","Perdida","Aberta")))</f>
        <v>Ganha</v>
      </c>
      <c r="N237" s="51" t="n">
        <f aca="false">IF(B237="","",IF(M237="Aberta",DataRef-B237,IF(L237="","",L237-B237)))</f>
        <v>35</v>
      </c>
      <c r="O237" s="50" t="str">
        <f aca="false">IF(M237&lt;&gt;"Aberta","",IF(AND(K237&lt;&gt;"",K237&lt;DataRef),"Previsão vencida",IF(N237&gt;DiasParada,"Parada","")))</f>
        <v/>
      </c>
    </row>
    <row r="238" customFormat="false" ht="15" hidden="false" customHeight="false" outlineLevel="0" collapsed="false">
      <c r="A238" s="44" t="s">
        <v>388</v>
      </c>
      <c r="B238" s="45" t="n">
        <v>46184</v>
      </c>
      <c r="C238" s="46" t="s">
        <v>148</v>
      </c>
      <c r="D238" s="46" t="s">
        <v>109</v>
      </c>
      <c r="E238" s="7" t="str">
        <f aca="false">IF(C238="","",IFERROR(INDEX(cl_Regiao,MATCH(C238,cl_Nome,0)),""))</f>
        <v>Sudeste</v>
      </c>
      <c r="F238" s="46" t="s">
        <v>110</v>
      </c>
      <c r="G238" s="46" t="s">
        <v>368</v>
      </c>
      <c r="H238" s="47" t="n">
        <v>17800</v>
      </c>
      <c r="I238" s="48" t="n">
        <f aca="false">IF(G238="","",IFERROR(INDEX(pr_Prob,MATCH(G238,pr_Etapa,0)),0))</f>
        <v>0.75</v>
      </c>
      <c r="J238" s="49" t="n">
        <f aca="false">IF(H238="","",H238*I238)</f>
        <v>13350</v>
      </c>
      <c r="K238" s="45" t="n">
        <v>46304</v>
      </c>
      <c r="L238" s="45"/>
      <c r="M238" s="50" t="str">
        <f aca="false">IF(G238="","",IF(G238="Fechado ganho","Ganha",IF(G238="Fechado perdido","Perdida","Aberta")))</f>
        <v>Aberta</v>
      </c>
      <c r="N238" s="51" t="n">
        <f aca="false">IF(B238="","",IF(M238="Aberta",DataRef-B238,IF(L238="","",L238-B238)))</f>
        <v>124</v>
      </c>
      <c r="O238" s="50" t="str">
        <f aca="false">IF(M238&lt;&gt;"Aberta","",IF(AND(K238&lt;&gt;"",K238&lt;DataRef),"Previsão vencida",IF(N238&gt;DiasParada,"Parada","")))</f>
        <v>Previsão vencida</v>
      </c>
    </row>
    <row r="239" customFormat="false" ht="15" hidden="false" customHeight="false" outlineLevel="0" collapsed="false">
      <c r="A239" s="44" t="s">
        <v>389</v>
      </c>
      <c r="B239" s="45" t="n">
        <v>46186</v>
      </c>
      <c r="C239" s="46" t="s">
        <v>236</v>
      </c>
      <c r="D239" s="46" t="s">
        <v>165</v>
      </c>
      <c r="E239" s="7" t="str">
        <f aca="false">IF(C239="","",IFERROR(INDEX(cl_Regiao,MATCH(C239,cl_Nome,0)),""))</f>
        <v>Nordeste</v>
      </c>
      <c r="F239" s="46" t="s">
        <v>128</v>
      </c>
      <c r="G239" s="46" t="s">
        <v>224</v>
      </c>
      <c r="H239" s="47" t="n">
        <v>25700</v>
      </c>
      <c r="I239" s="48" t="n">
        <f aca="false">IF(G239="","",IFERROR(INDEX(pr_Prob,MATCH(G239,pr_Etapa,0)),0))</f>
        <v>0.25</v>
      </c>
      <c r="J239" s="49" t="n">
        <f aca="false">IF(H239="","",H239*I239)</f>
        <v>6425</v>
      </c>
      <c r="K239" s="45" t="n">
        <v>46236</v>
      </c>
      <c r="L239" s="45"/>
      <c r="M239" s="50" t="str">
        <f aca="false">IF(G239="","",IF(G239="Fechado ganho","Ganha",IF(G239="Fechado perdido","Perdida","Aberta")))</f>
        <v>Aberta</v>
      </c>
      <c r="N239" s="51" t="n">
        <f aca="false">IF(B239="","",IF(M239="Aberta",DataRef-B239,IF(L239="","",L239-B239)))</f>
        <v>122</v>
      </c>
      <c r="O239" s="50" t="str">
        <f aca="false">IF(M239&lt;&gt;"Aberta","",IF(AND(K239&lt;&gt;"",K239&lt;DataRef),"Previsão vencida",IF(N239&gt;DiasParada,"Parada","")))</f>
        <v>Previsão vencida</v>
      </c>
    </row>
    <row r="240" customFormat="false" ht="15" hidden="false" customHeight="false" outlineLevel="0" collapsed="false">
      <c r="A240" s="44" t="s">
        <v>390</v>
      </c>
      <c r="B240" s="45" t="n">
        <v>46187</v>
      </c>
      <c r="C240" s="46" t="s">
        <v>162</v>
      </c>
      <c r="D240" s="46" t="s">
        <v>131</v>
      </c>
      <c r="E240" s="7" t="str">
        <f aca="false">IF(C240="","",IFERROR(INDEX(cl_Regiao,MATCH(C240,cl_Nome,0)),""))</f>
        <v>Centro-Oeste</v>
      </c>
      <c r="F240" s="46" t="s">
        <v>110</v>
      </c>
      <c r="G240" s="46" t="s">
        <v>116</v>
      </c>
      <c r="H240" s="47" t="n">
        <v>4800</v>
      </c>
      <c r="I240" s="48" t="n">
        <f aca="false">IF(G240="","",IFERROR(INDEX(pr_Prob,MATCH(G240,pr_Etapa,0)),0))</f>
        <v>1</v>
      </c>
      <c r="J240" s="49" t="n">
        <f aca="false">IF(H240="","",H240*I240)</f>
        <v>4800</v>
      </c>
      <c r="K240" s="45"/>
      <c r="L240" s="45" t="n">
        <v>46226</v>
      </c>
      <c r="M240" s="50" t="str">
        <f aca="false">IF(G240="","",IF(G240="Fechado ganho","Ganha",IF(G240="Fechado perdido","Perdida","Aberta")))</f>
        <v>Ganha</v>
      </c>
      <c r="N240" s="51" t="n">
        <f aca="false">IF(B240="","",IF(M240="Aberta",DataRef-B240,IF(L240="","",L240-B240)))</f>
        <v>39</v>
      </c>
      <c r="O240" s="50" t="str">
        <f aca="false">IF(M240&lt;&gt;"Aberta","",IF(AND(K240&lt;&gt;"",K240&lt;DataRef),"Previsão vencida",IF(N240&gt;DiasParada,"Parada","")))</f>
        <v/>
      </c>
    </row>
    <row r="241" customFormat="false" ht="15" hidden="false" customHeight="false" outlineLevel="0" collapsed="false">
      <c r="A241" s="44" t="s">
        <v>391</v>
      </c>
      <c r="B241" s="45" t="n">
        <v>46188</v>
      </c>
      <c r="C241" s="46" t="s">
        <v>145</v>
      </c>
      <c r="D241" s="46" t="s">
        <v>114</v>
      </c>
      <c r="E241" s="7" t="str">
        <f aca="false">IF(C241="","",IFERROR(INDEX(cl_Regiao,MATCH(C241,cl_Nome,0)),""))</f>
        <v>Norte</v>
      </c>
      <c r="F241" s="46" t="s">
        <v>115</v>
      </c>
      <c r="G241" s="46" t="s">
        <v>116</v>
      </c>
      <c r="H241" s="47" t="n">
        <v>85800</v>
      </c>
      <c r="I241" s="48" t="n">
        <f aca="false">IF(G241="","",IFERROR(INDEX(pr_Prob,MATCH(G241,pr_Etapa,0)),0))</f>
        <v>1</v>
      </c>
      <c r="J241" s="49" t="n">
        <f aca="false">IF(H241="","",H241*I241)</f>
        <v>85800</v>
      </c>
      <c r="K241" s="45"/>
      <c r="L241" s="45" t="n">
        <v>46243</v>
      </c>
      <c r="M241" s="50" t="str">
        <f aca="false">IF(G241="","",IF(G241="Fechado ganho","Ganha",IF(G241="Fechado perdido","Perdida","Aberta")))</f>
        <v>Ganha</v>
      </c>
      <c r="N241" s="51" t="n">
        <f aca="false">IF(B241="","",IF(M241="Aberta",DataRef-B241,IF(L241="","",L241-B241)))</f>
        <v>55</v>
      </c>
      <c r="O241" s="50" t="str">
        <f aca="false">IF(M241&lt;&gt;"Aberta","",IF(AND(K241&lt;&gt;"",K241&lt;DataRef),"Previsão vencida",IF(N241&gt;DiasParada,"Parada","")))</f>
        <v/>
      </c>
    </row>
    <row r="242" customFormat="false" ht="15" hidden="false" customHeight="false" outlineLevel="0" collapsed="false">
      <c r="A242" s="44" t="s">
        <v>392</v>
      </c>
      <c r="B242" s="45" t="n">
        <v>46189</v>
      </c>
      <c r="C242" s="46" t="s">
        <v>155</v>
      </c>
      <c r="D242" s="46" t="s">
        <v>127</v>
      </c>
      <c r="E242" s="7" t="str">
        <f aca="false">IF(C242="","",IFERROR(INDEX(cl_Regiao,MATCH(C242,cl_Nome,0)),""))</f>
        <v>Sul</v>
      </c>
      <c r="F242" s="46" t="s">
        <v>110</v>
      </c>
      <c r="G242" s="46" t="s">
        <v>361</v>
      </c>
      <c r="H242" s="47" t="n">
        <v>9300</v>
      </c>
      <c r="I242" s="48" t="n">
        <f aca="false">IF(G242="","",IFERROR(INDEX(pr_Prob,MATCH(G242,pr_Etapa,0)),0))</f>
        <v>0.1</v>
      </c>
      <c r="J242" s="49" t="n">
        <f aca="false">IF(H242="","",H242*I242)</f>
        <v>930</v>
      </c>
      <c r="K242" s="45" t="n">
        <v>46282</v>
      </c>
      <c r="L242" s="45"/>
      <c r="M242" s="50" t="str">
        <f aca="false">IF(G242="","",IF(G242="Fechado ganho","Ganha",IF(G242="Fechado perdido","Perdida","Aberta")))</f>
        <v>Aberta</v>
      </c>
      <c r="N242" s="51" t="n">
        <f aca="false">IF(B242="","",IF(M242="Aberta",DataRef-B242,IF(L242="","",L242-B242)))</f>
        <v>119</v>
      </c>
      <c r="O242" s="50" t="str">
        <f aca="false">IF(M242&lt;&gt;"Aberta","",IF(AND(K242&lt;&gt;"",K242&lt;DataRef),"Previsão vencida",IF(N242&gt;DiasParada,"Parada","")))</f>
        <v>Previsão vencida</v>
      </c>
    </row>
    <row r="243" customFormat="false" ht="15" hidden="false" customHeight="false" outlineLevel="0" collapsed="false">
      <c r="A243" s="44" t="s">
        <v>393</v>
      </c>
      <c r="B243" s="45" t="n">
        <v>46189</v>
      </c>
      <c r="C243" s="46" t="s">
        <v>201</v>
      </c>
      <c r="D243" s="46" t="s">
        <v>127</v>
      </c>
      <c r="E243" s="7" t="str">
        <f aca="false">IF(C243="","",IFERROR(INDEX(cl_Regiao,MATCH(C243,cl_Nome,0)),""))</f>
        <v>Sul</v>
      </c>
      <c r="F243" s="46" t="s">
        <v>122</v>
      </c>
      <c r="G243" s="46" t="s">
        <v>111</v>
      </c>
      <c r="H243" s="47" t="n">
        <v>12200</v>
      </c>
      <c r="I243" s="48" t="n">
        <f aca="false">IF(G243="","",IFERROR(INDEX(pr_Prob,MATCH(G243,pr_Etapa,0)),0))</f>
        <v>0</v>
      </c>
      <c r="J243" s="49" t="n">
        <f aca="false">IF(H243="","",H243*I243)</f>
        <v>0</v>
      </c>
      <c r="K243" s="45"/>
      <c r="L243" s="45" t="n">
        <v>46218</v>
      </c>
      <c r="M243" s="50" t="str">
        <f aca="false">IF(G243="","",IF(G243="Fechado ganho","Ganha",IF(G243="Fechado perdido","Perdida","Aberta")))</f>
        <v>Perdida</v>
      </c>
      <c r="N243" s="51" t="n">
        <f aca="false">IF(B243="","",IF(M243="Aberta",DataRef-B243,IF(L243="","",L243-B243)))</f>
        <v>29</v>
      </c>
      <c r="O243" s="50" t="str">
        <f aca="false">IF(M243&lt;&gt;"Aberta","",IF(AND(K243&lt;&gt;"",K243&lt;DataRef),"Previsão vencida",IF(N243&gt;DiasParada,"Parada","")))</f>
        <v/>
      </c>
    </row>
    <row r="244" customFormat="false" ht="15" hidden="false" customHeight="false" outlineLevel="0" collapsed="false">
      <c r="A244" s="44" t="s">
        <v>394</v>
      </c>
      <c r="B244" s="45" t="n">
        <v>46189</v>
      </c>
      <c r="C244" s="46" t="s">
        <v>236</v>
      </c>
      <c r="D244" s="46" t="s">
        <v>165</v>
      </c>
      <c r="E244" s="7" t="str">
        <f aca="false">IF(C244="","",IFERROR(INDEX(cl_Regiao,MATCH(C244,cl_Nome,0)),""))</f>
        <v>Nordeste</v>
      </c>
      <c r="F244" s="46" t="s">
        <v>110</v>
      </c>
      <c r="G244" s="46" t="s">
        <v>361</v>
      </c>
      <c r="H244" s="47" t="n">
        <v>14700</v>
      </c>
      <c r="I244" s="48" t="n">
        <f aca="false">IF(G244="","",IFERROR(INDEX(pr_Prob,MATCH(G244,pr_Etapa,0)),0))</f>
        <v>0.1</v>
      </c>
      <c r="J244" s="49" t="n">
        <f aca="false">IF(H244="","",H244*I244)</f>
        <v>1470</v>
      </c>
      <c r="K244" s="45" t="n">
        <v>46298</v>
      </c>
      <c r="L244" s="45"/>
      <c r="M244" s="50" t="str">
        <f aca="false">IF(G244="","",IF(G244="Fechado ganho","Ganha",IF(G244="Fechado perdido","Perdida","Aberta")))</f>
        <v>Aberta</v>
      </c>
      <c r="N244" s="51" t="n">
        <f aca="false">IF(B244="","",IF(M244="Aberta",DataRef-B244,IF(L244="","",L244-B244)))</f>
        <v>119</v>
      </c>
      <c r="O244" s="50" t="str">
        <f aca="false">IF(M244&lt;&gt;"Aberta","",IF(AND(K244&lt;&gt;"",K244&lt;DataRef),"Previsão vencida",IF(N244&gt;DiasParada,"Parada","")))</f>
        <v>Previsão vencida</v>
      </c>
    </row>
    <row r="245" customFormat="false" ht="15" hidden="false" customHeight="false" outlineLevel="0" collapsed="false">
      <c r="A245" s="44" t="s">
        <v>395</v>
      </c>
      <c r="B245" s="45" t="n">
        <v>46191</v>
      </c>
      <c r="C245" s="46" t="s">
        <v>135</v>
      </c>
      <c r="D245" s="46" t="s">
        <v>119</v>
      </c>
      <c r="E245" s="7" t="str">
        <f aca="false">IF(C245="","",IFERROR(INDEX(cl_Regiao,MATCH(C245,cl_Nome,0)),""))</f>
        <v>Sudeste</v>
      </c>
      <c r="F245" s="46" t="s">
        <v>115</v>
      </c>
      <c r="G245" s="46" t="s">
        <v>116</v>
      </c>
      <c r="H245" s="47" t="n">
        <v>8300</v>
      </c>
      <c r="I245" s="48" t="n">
        <f aca="false">IF(G245="","",IFERROR(INDEX(pr_Prob,MATCH(G245,pr_Etapa,0)),0))</f>
        <v>1</v>
      </c>
      <c r="J245" s="49" t="n">
        <f aca="false">IF(H245="","",H245*I245)</f>
        <v>8300</v>
      </c>
      <c r="K245" s="45"/>
      <c r="L245" s="45" t="n">
        <v>46266</v>
      </c>
      <c r="M245" s="50" t="str">
        <f aca="false">IF(G245="","",IF(G245="Fechado ganho","Ganha",IF(G245="Fechado perdido","Perdida","Aberta")))</f>
        <v>Ganha</v>
      </c>
      <c r="N245" s="51" t="n">
        <f aca="false">IF(B245="","",IF(M245="Aberta",DataRef-B245,IF(L245="","",L245-B245)))</f>
        <v>75</v>
      </c>
      <c r="O245" s="50" t="str">
        <f aca="false">IF(M245&lt;&gt;"Aberta","",IF(AND(K245&lt;&gt;"",K245&lt;DataRef),"Previsão vencida",IF(N245&gt;DiasParada,"Parada","")))</f>
        <v/>
      </c>
    </row>
    <row r="246" customFormat="false" ht="15" hidden="false" customHeight="false" outlineLevel="0" collapsed="false">
      <c r="A246" s="44" t="s">
        <v>396</v>
      </c>
      <c r="B246" s="45" t="n">
        <v>46191</v>
      </c>
      <c r="C246" s="46" t="s">
        <v>158</v>
      </c>
      <c r="D246" s="46" t="s">
        <v>131</v>
      </c>
      <c r="E246" s="7" t="str">
        <f aca="false">IF(C246="","",IFERROR(INDEX(cl_Regiao,MATCH(C246,cl_Nome,0)),""))</f>
        <v>Centro-Oeste</v>
      </c>
      <c r="F246" s="46" t="s">
        <v>115</v>
      </c>
      <c r="G246" s="46" t="s">
        <v>111</v>
      </c>
      <c r="H246" s="47" t="n">
        <v>32200</v>
      </c>
      <c r="I246" s="48" t="n">
        <f aca="false">IF(G246="","",IFERROR(INDEX(pr_Prob,MATCH(G246,pr_Etapa,0)),0))</f>
        <v>0</v>
      </c>
      <c r="J246" s="49" t="n">
        <f aca="false">IF(H246="","",H246*I246)</f>
        <v>0</v>
      </c>
      <c r="K246" s="45"/>
      <c r="L246" s="45" t="n">
        <v>46227</v>
      </c>
      <c r="M246" s="50" t="str">
        <f aca="false">IF(G246="","",IF(G246="Fechado ganho","Ganha",IF(G246="Fechado perdido","Perdida","Aberta")))</f>
        <v>Perdida</v>
      </c>
      <c r="N246" s="51" t="n">
        <f aca="false">IF(B246="","",IF(M246="Aberta",DataRef-B246,IF(L246="","",L246-B246)))</f>
        <v>36</v>
      </c>
      <c r="O246" s="50" t="str">
        <f aca="false">IF(M246&lt;&gt;"Aberta","",IF(AND(K246&lt;&gt;"",K246&lt;DataRef),"Previsão vencida",IF(N246&gt;DiasParada,"Parada","")))</f>
        <v/>
      </c>
    </row>
    <row r="247" customFormat="false" ht="15" hidden="false" customHeight="false" outlineLevel="0" collapsed="false">
      <c r="A247" s="44" t="s">
        <v>397</v>
      </c>
      <c r="B247" s="45" t="n">
        <v>46193</v>
      </c>
      <c r="C247" s="46" t="s">
        <v>182</v>
      </c>
      <c r="D247" s="46" t="s">
        <v>109</v>
      </c>
      <c r="E247" s="7" t="str">
        <f aca="false">IF(C247="","",IFERROR(INDEX(cl_Regiao,MATCH(C247,cl_Nome,0)),""))</f>
        <v>Sudeste</v>
      </c>
      <c r="F247" s="46" t="s">
        <v>128</v>
      </c>
      <c r="G247" s="46" t="s">
        <v>368</v>
      </c>
      <c r="H247" s="47" t="n">
        <v>20200</v>
      </c>
      <c r="I247" s="48" t="n">
        <f aca="false">IF(G247="","",IFERROR(INDEX(pr_Prob,MATCH(G247,pr_Etapa,0)),0))</f>
        <v>0.75</v>
      </c>
      <c r="J247" s="49" t="n">
        <f aca="false">IF(H247="","",H247*I247)</f>
        <v>15150</v>
      </c>
      <c r="K247" s="45" t="n">
        <v>46304</v>
      </c>
      <c r="L247" s="45"/>
      <c r="M247" s="50" t="str">
        <f aca="false">IF(G247="","",IF(G247="Fechado ganho","Ganha",IF(G247="Fechado perdido","Perdida","Aberta")))</f>
        <v>Aberta</v>
      </c>
      <c r="N247" s="51" t="n">
        <f aca="false">IF(B247="","",IF(M247="Aberta",DataRef-B247,IF(L247="","",L247-B247)))</f>
        <v>115</v>
      </c>
      <c r="O247" s="50" t="str">
        <f aca="false">IF(M247&lt;&gt;"Aberta","",IF(AND(K247&lt;&gt;"",K247&lt;DataRef),"Previsão vencida",IF(N247&gt;DiasParada,"Parada","")))</f>
        <v>Previsão vencida</v>
      </c>
    </row>
    <row r="248" customFormat="false" ht="15" hidden="false" customHeight="false" outlineLevel="0" collapsed="false">
      <c r="A248" s="44" t="s">
        <v>398</v>
      </c>
      <c r="B248" s="45" t="n">
        <v>46193</v>
      </c>
      <c r="C248" s="46" t="s">
        <v>141</v>
      </c>
      <c r="D248" s="46" t="s">
        <v>109</v>
      </c>
      <c r="E248" s="7" t="str">
        <f aca="false">IF(C248="","",IFERROR(INDEX(cl_Regiao,MATCH(C248,cl_Nome,0)),""))</f>
        <v>Sudeste</v>
      </c>
      <c r="F248" s="46" t="s">
        <v>128</v>
      </c>
      <c r="G248" s="46" t="s">
        <v>116</v>
      </c>
      <c r="H248" s="47" t="n">
        <v>43400</v>
      </c>
      <c r="I248" s="48" t="n">
        <f aca="false">IF(G248="","",IFERROR(INDEX(pr_Prob,MATCH(G248,pr_Etapa,0)),0))</f>
        <v>1</v>
      </c>
      <c r="J248" s="49" t="n">
        <f aca="false">IF(H248="","",H248*I248)</f>
        <v>43400</v>
      </c>
      <c r="K248" s="45"/>
      <c r="L248" s="45" t="n">
        <v>46256</v>
      </c>
      <c r="M248" s="50" t="str">
        <f aca="false">IF(G248="","",IF(G248="Fechado ganho","Ganha",IF(G248="Fechado perdido","Perdida","Aberta")))</f>
        <v>Ganha</v>
      </c>
      <c r="N248" s="51" t="n">
        <f aca="false">IF(B248="","",IF(M248="Aberta",DataRef-B248,IF(L248="","",L248-B248)))</f>
        <v>63</v>
      </c>
      <c r="O248" s="50" t="str">
        <f aca="false">IF(M248&lt;&gt;"Aberta","",IF(AND(K248&lt;&gt;"",K248&lt;DataRef),"Previsão vencida",IF(N248&gt;DiasParada,"Parada","")))</f>
        <v/>
      </c>
    </row>
    <row r="249" customFormat="false" ht="15" hidden="false" customHeight="false" outlineLevel="0" collapsed="false">
      <c r="A249" s="44" t="s">
        <v>399</v>
      </c>
      <c r="B249" s="45" t="n">
        <v>46194</v>
      </c>
      <c r="C249" s="46" t="s">
        <v>158</v>
      </c>
      <c r="D249" s="46" t="s">
        <v>131</v>
      </c>
      <c r="E249" s="7" t="str">
        <f aca="false">IF(C249="","",IFERROR(INDEX(cl_Regiao,MATCH(C249,cl_Nome,0)),""))</f>
        <v>Centro-Oeste</v>
      </c>
      <c r="F249" s="46" t="s">
        <v>122</v>
      </c>
      <c r="G249" s="46" t="s">
        <v>361</v>
      </c>
      <c r="H249" s="47" t="n">
        <v>13000</v>
      </c>
      <c r="I249" s="48" t="n">
        <f aca="false">IF(G249="","",IFERROR(INDEX(pr_Prob,MATCH(G249,pr_Etapa,0)),0))</f>
        <v>0.1</v>
      </c>
      <c r="J249" s="49" t="n">
        <f aca="false">IF(H249="","",H249*I249)</f>
        <v>1300</v>
      </c>
      <c r="K249" s="45" t="n">
        <v>46283</v>
      </c>
      <c r="L249" s="45"/>
      <c r="M249" s="50" t="str">
        <f aca="false">IF(G249="","",IF(G249="Fechado ganho","Ganha",IF(G249="Fechado perdido","Perdida","Aberta")))</f>
        <v>Aberta</v>
      </c>
      <c r="N249" s="51" t="n">
        <f aca="false">IF(B249="","",IF(M249="Aberta",DataRef-B249,IF(L249="","",L249-B249)))</f>
        <v>114</v>
      </c>
      <c r="O249" s="50" t="str">
        <f aca="false">IF(M249&lt;&gt;"Aberta","",IF(AND(K249&lt;&gt;"",K249&lt;DataRef),"Previsão vencida",IF(N249&gt;DiasParada,"Parada","")))</f>
        <v>Previsão vencida</v>
      </c>
    </row>
    <row r="250" customFormat="false" ht="15" hidden="false" customHeight="false" outlineLevel="0" collapsed="false">
      <c r="A250" s="44" t="s">
        <v>400</v>
      </c>
      <c r="B250" s="45" t="n">
        <v>46194</v>
      </c>
      <c r="C250" s="46" t="s">
        <v>158</v>
      </c>
      <c r="D250" s="46" t="s">
        <v>131</v>
      </c>
      <c r="E250" s="7" t="str">
        <f aca="false">IF(C250="","",IFERROR(INDEX(cl_Regiao,MATCH(C250,cl_Nome,0)),""))</f>
        <v>Centro-Oeste</v>
      </c>
      <c r="F250" s="46" t="s">
        <v>110</v>
      </c>
      <c r="G250" s="46" t="s">
        <v>116</v>
      </c>
      <c r="H250" s="47" t="n">
        <v>8700</v>
      </c>
      <c r="I250" s="48" t="n">
        <f aca="false">IF(G250="","",IFERROR(INDEX(pr_Prob,MATCH(G250,pr_Etapa,0)),0))</f>
        <v>1</v>
      </c>
      <c r="J250" s="49" t="n">
        <f aca="false">IF(H250="","",H250*I250)</f>
        <v>8700</v>
      </c>
      <c r="K250" s="45"/>
      <c r="L250" s="45" t="n">
        <v>46230</v>
      </c>
      <c r="M250" s="50" t="str">
        <f aca="false">IF(G250="","",IF(G250="Fechado ganho","Ganha",IF(G250="Fechado perdido","Perdida","Aberta")))</f>
        <v>Ganha</v>
      </c>
      <c r="N250" s="51" t="n">
        <f aca="false">IF(B250="","",IF(M250="Aberta",DataRef-B250,IF(L250="","",L250-B250)))</f>
        <v>36</v>
      </c>
      <c r="O250" s="50" t="str">
        <f aca="false">IF(M250&lt;&gt;"Aberta","",IF(AND(K250&lt;&gt;"",K250&lt;DataRef),"Previsão vencida",IF(N250&gt;DiasParada,"Parada","")))</f>
        <v/>
      </c>
    </row>
    <row r="251" customFormat="false" ht="15" hidden="false" customHeight="false" outlineLevel="0" collapsed="false">
      <c r="A251" s="44" t="s">
        <v>401</v>
      </c>
      <c r="B251" s="45" t="n">
        <v>46195</v>
      </c>
      <c r="C251" s="46" t="s">
        <v>121</v>
      </c>
      <c r="D251" s="46" t="s">
        <v>119</v>
      </c>
      <c r="E251" s="7" t="str">
        <f aca="false">IF(C251="","",IFERROR(INDEX(cl_Regiao,MATCH(C251,cl_Nome,0)),""))</f>
        <v>Sudeste</v>
      </c>
      <c r="F251" s="46" t="s">
        <v>110</v>
      </c>
      <c r="G251" s="46" t="s">
        <v>368</v>
      </c>
      <c r="H251" s="47" t="n">
        <v>6300</v>
      </c>
      <c r="I251" s="48" t="n">
        <f aca="false">IF(G251="","",IFERROR(INDEX(pr_Prob,MATCH(G251,pr_Etapa,0)),0))</f>
        <v>0.75</v>
      </c>
      <c r="J251" s="49" t="n">
        <f aca="false">IF(H251="","",H251*I251)</f>
        <v>4725</v>
      </c>
      <c r="K251" s="45" t="n">
        <v>46243</v>
      </c>
      <c r="L251" s="45"/>
      <c r="M251" s="50" t="str">
        <f aca="false">IF(G251="","",IF(G251="Fechado ganho","Ganha",IF(G251="Fechado perdido","Perdida","Aberta")))</f>
        <v>Aberta</v>
      </c>
      <c r="N251" s="51" t="n">
        <f aca="false">IF(B251="","",IF(M251="Aberta",DataRef-B251,IF(L251="","",L251-B251)))</f>
        <v>113</v>
      </c>
      <c r="O251" s="50" t="str">
        <f aca="false">IF(M251&lt;&gt;"Aberta","",IF(AND(K251&lt;&gt;"",K251&lt;DataRef),"Previsão vencida",IF(N251&gt;DiasParada,"Parada","")))</f>
        <v>Previsão vencida</v>
      </c>
    </row>
    <row r="252" customFormat="false" ht="15" hidden="false" customHeight="false" outlineLevel="0" collapsed="false">
      <c r="A252" s="44" t="s">
        <v>402</v>
      </c>
      <c r="B252" s="45" t="n">
        <v>46196</v>
      </c>
      <c r="C252" s="46" t="s">
        <v>164</v>
      </c>
      <c r="D252" s="46" t="s">
        <v>165</v>
      </c>
      <c r="E252" s="7" t="str">
        <f aca="false">IF(C252="","",IFERROR(INDEX(cl_Regiao,MATCH(C252,cl_Nome,0)),""))</f>
        <v>Nordeste</v>
      </c>
      <c r="F252" s="46" t="s">
        <v>128</v>
      </c>
      <c r="G252" s="46" t="s">
        <v>361</v>
      </c>
      <c r="H252" s="47" t="n">
        <v>13200</v>
      </c>
      <c r="I252" s="48" t="n">
        <f aca="false">IF(G252="","",IFERROR(INDEX(pr_Prob,MATCH(G252,pr_Etapa,0)),0))</f>
        <v>0.1</v>
      </c>
      <c r="J252" s="49" t="n">
        <f aca="false">IF(H252="","",H252*I252)</f>
        <v>1320</v>
      </c>
      <c r="K252" s="45" t="n">
        <v>46301</v>
      </c>
      <c r="L252" s="45"/>
      <c r="M252" s="50" t="str">
        <f aca="false">IF(G252="","",IF(G252="Fechado ganho","Ganha",IF(G252="Fechado perdido","Perdida","Aberta")))</f>
        <v>Aberta</v>
      </c>
      <c r="N252" s="51" t="n">
        <f aca="false">IF(B252="","",IF(M252="Aberta",DataRef-B252,IF(L252="","",L252-B252)))</f>
        <v>112</v>
      </c>
      <c r="O252" s="50" t="str">
        <f aca="false">IF(M252&lt;&gt;"Aberta","",IF(AND(K252&lt;&gt;"",K252&lt;DataRef),"Previsão vencida",IF(N252&gt;DiasParada,"Parada","")))</f>
        <v>Previsão vencida</v>
      </c>
    </row>
    <row r="253" customFormat="false" ht="15" hidden="false" customHeight="false" outlineLevel="0" collapsed="false">
      <c r="A253" s="44" t="s">
        <v>403</v>
      </c>
      <c r="B253" s="45" t="n">
        <v>46197</v>
      </c>
      <c r="C253" s="46" t="s">
        <v>108</v>
      </c>
      <c r="D253" s="46" t="s">
        <v>109</v>
      </c>
      <c r="E253" s="7" t="str">
        <f aca="false">IF(C253="","",IFERROR(INDEX(cl_Regiao,MATCH(C253,cl_Nome,0)),""))</f>
        <v>Sudeste</v>
      </c>
      <c r="F253" s="46" t="s">
        <v>122</v>
      </c>
      <c r="G253" s="46" t="s">
        <v>116</v>
      </c>
      <c r="H253" s="47" t="n">
        <v>11800</v>
      </c>
      <c r="I253" s="48" t="n">
        <f aca="false">IF(G253="","",IFERROR(INDEX(pr_Prob,MATCH(G253,pr_Etapa,0)),0))</f>
        <v>1</v>
      </c>
      <c r="J253" s="49" t="n">
        <f aca="false">IF(H253="","",H253*I253)</f>
        <v>11800</v>
      </c>
      <c r="K253" s="45"/>
      <c r="L253" s="45" t="n">
        <v>46226</v>
      </c>
      <c r="M253" s="50" t="str">
        <f aca="false">IF(G253="","",IF(G253="Fechado ganho","Ganha",IF(G253="Fechado perdido","Perdida","Aberta")))</f>
        <v>Ganha</v>
      </c>
      <c r="N253" s="51" t="n">
        <f aca="false">IF(B253="","",IF(M253="Aberta",DataRef-B253,IF(L253="","",L253-B253)))</f>
        <v>29</v>
      </c>
      <c r="O253" s="50" t="str">
        <f aca="false">IF(M253&lt;&gt;"Aberta","",IF(AND(K253&lt;&gt;"",K253&lt;DataRef),"Previsão vencida",IF(N253&gt;DiasParada,"Parada","")))</f>
        <v/>
      </c>
    </row>
    <row r="254" customFormat="false" ht="15" hidden="false" customHeight="false" outlineLevel="0" collapsed="false">
      <c r="A254" s="44" t="s">
        <v>404</v>
      </c>
      <c r="B254" s="45" t="n">
        <v>46197</v>
      </c>
      <c r="C254" s="46" t="s">
        <v>236</v>
      </c>
      <c r="D254" s="46" t="s">
        <v>165</v>
      </c>
      <c r="E254" s="7" t="str">
        <f aca="false">IF(C254="","",IFERROR(INDEX(cl_Regiao,MATCH(C254,cl_Nome,0)),""))</f>
        <v>Nordeste</v>
      </c>
      <c r="F254" s="46" t="s">
        <v>110</v>
      </c>
      <c r="G254" s="46" t="s">
        <v>368</v>
      </c>
      <c r="H254" s="47" t="n">
        <v>8800</v>
      </c>
      <c r="I254" s="48" t="n">
        <f aca="false">IF(G254="","",IFERROR(INDEX(pr_Prob,MATCH(G254,pr_Etapa,0)),0))</f>
        <v>0.75</v>
      </c>
      <c r="J254" s="49" t="n">
        <f aca="false">IF(H254="","",H254*I254)</f>
        <v>6600</v>
      </c>
      <c r="K254" s="45" t="n">
        <v>46251</v>
      </c>
      <c r="L254" s="45"/>
      <c r="M254" s="50" t="str">
        <f aca="false">IF(G254="","",IF(G254="Fechado ganho","Ganha",IF(G254="Fechado perdido","Perdida","Aberta")))</f>
        <v>Aberta</v>
      </c>
      <c r="N254" s="51" t="n">
        <f aca="false">IF(B254="","",IF(M254="Aberta",DataRef-B254,IF(L254="","",L254-B254)))</f>
        <v>111</v>
      </c>
      <c r="O254" s="50" t="str">
        <f aca="false">IF(M254&lt;&gt;"Aberta","",IF(AND(K254&lt;&gt;"",K254&lt;DataRef),"Previsão vencida",IF(N254&gt;DiasParada,"Parada","")))</f>
        <v>Previsão vencida</v>
      </c>
    </row>
    <row r="255" customFormat="false" ht="15" hidden="false" customHeight="false" outlineLevel="0" collapsed="false">
      <c r="A255" s="44" t="s">
        <v>405</v>
      </c>
      <c r="B255" s="45" t="n">
        <v>46197</v>
      </c>
      <c r="C255" s="46" t="s">
        <v>180</v>
      </c>
      <c r="D255" s="46" t="s">
        <v>127</v>
      </c>
      <c r="E255" s="7" t="str">
        <f aca="false">IF(C255="","",IFERROR(INDEX(cl_Regiao,MATCH(C255,cl_Nome,0)),""))</f>
        <v>Sul</v>
      </c>
      <c r="F255" s="46" t="s">
        <v>128</v>
      </c>
      <c r="G255" s="46" t="s">
        <v>368</v>
      </c>
      <c r="H255" s="47" t="n">
        <v>66500</v>
      </c>
      <c r="I255" s="48" t="n">
        <f aca="false">IF(G255="","",IFERROR(INDEX(pr_Prob,MATCH(G255,pr_Etapa,0)),0))</f>
        <v>0.75</v>
      </c>
      <c r="J255" s="49" t="n">
        <f aca="false">IF(H255="","",H255*I255)</f>
        <v>49875</v>
      </c>
      <c r="K255" s="45" t="n">
        <v>46258</v>
      </c>
      <c r="L255" s="45"/>
      <c r="M255" s="50" t="str">
        <f aca="false">IF(G255="","",IF(G255="Fechado ganho","Ganha",IF(G255="Fechado perdido","Perdida","Aberta")))</f>
        <v>Aberta</v>
      </c>
      <c r="N255" s="51" t="n">
        <f aca="false">IF(B255="","",IF(M255="Aberta",DataRef-B255,IF(L255="","",L255-B255)))</f>
        <v>111</v>
      </c>
      <c r="O255" s="50" t="str">
        <f aca="false">IF(M255&lt;&gt;"Aberta","",IF(AND(K255&lt;&gt;"",K255&lt;DataRef),"Previsão vencida",IF(N255&gt;DiasParada,"Parada","")))</f>
        <v>Previsão vencida</v>
      </c>
    </row>
    <row r="256" customFormat="false" ht="15" hidden="false" customHeight="false" outlineLevel="0" collapsed="false">
      <c r="A256" s="44" t="s">
        <v>406</v>
      </c>
      <c r="B256" s="45" t="n">
        <v>46199</v>
      </c>
      <c r="C256" s="46" t="s">
        <v>236</v>
      </c>
      <c r="D256" s="46" t="s">
        <v>165</v>
      </c>
      <c r="E256" s="7" t="str">
        <f aca="false">IF(C256="","",IFERROR(INDEX(cl_Regiao,MATCH(C256,cl_Nome,0)),""))</f>
        <v>Nordeste</v>
      </c>
      <c r="F256" s="46" t="s">
        <v>110</v>
      </c>
      <c r="G256" s="46" t="s">
        <v>224</v>
      </c>
      <c r="H256" s="47" t="n">
        <v>16500</v>
      </c>
      <c r="I256" s="48" t="n">
        <f aca="false">IF(G256="","",IFERROR(INDEX(pr_Prob,MATCH(G256,pr_Etapa,0)),0))</f>
        <v>0.25</v>
      </c>
      <c r="J256" s="49" t="n">
        <f aca="false">IF(H256="","",H256*I256)</f>
        <v>4125</v>
      </c>
      <c r="K256" s="45" t="n">
        <v>46249</v>
      </c>
      <c r="L256" s="45"/>
      <c r="M256" s="50" t="str">
        <f aca="false">IF(G256="","",IF(G256="Fechado ganho","Ganha",IF(G256="Fechado perdido","Perdida","Aberta")))</f>
        <v>Aberta</v>
      </c>
      <c r="N256" s="51" t="n">
        <f aca="false">IF(B256="","",IF(M256="Aberta",DataRef-B256,IF(L256="","",L256-B256)))</f>
        <v>109</v>
      </c>
      <c r="O256" s="50" t="str">
        <f aca="false">IF(M256&lt;&gt;"Aberta","",IF(AND(K256&lt;&gt;"",K256&lt;DataRef),"Previsão vencida",IF(N256&gt;DiasParada,"Parada","")))</f>
        <v>Previsão vencida</v>
      </c>
    </row>
    <row r="257" customFormat="false" ht="15" hidden="false" customHeight="false" outlineLevel="0" collapsed="false">
      <c r="A257" s="44" t="s">
        <v>407</v>
      </c>
      <c r="B257" s="45" t="n">
        <v>46202</v>
      </c>
      <c r="C257" s="46" t="s">
        <v>118</v>
      </c>
      <c r="D257" s="46" t="s">
        <v>119</v>
      </c>
      <c r="E257" s="7" t="str">
        <f aca="false">IF(C257="","",IFERROR(INDEX(cl_Regiao,MATCH(C257,cl_Nome,0)),""))</f>
        <v>Sudeste</v>
      </c>
      <c r="F257" s="46" t="s">
        <v>128</v>
      </c>
      <c r="G257" s="46" t="s">
        <v>224</v>
      </c>
      <c r="H257" s="47" t="n">
        <v>17800</v>
      </c>
      <c r="I257" s="48" t="n">
        <f aca="false">IF(G257="","",IFERROR(INDEX(pr_Prob,MATCH(G257,pr_Etapa,0)),0))</f>
        <v>0.25</v>
      </c>
      <c r="J257" s="49" t="n">
        <f aca="false">IF(H257="","",H257*I257)</f>
        <v>4450</v>
      </c>
      <c r="K257" s="45" t="n">
        <v>46241</v>
      </c>
      <c r="L257" s="45"/>
      <c r="M257" s="50" t="str">
        <f aca="false">IF(G257="","",IF(G257="Fechado ganho","Ganha",IF(G257="Fechado perdido","Perdida","Aberta")))</f>
        <v>Aberta</v>
      </c>
      <c r="N257" s="51" t="n">
        <f aca="false">IF(B257="","",IF(M257="Aberta",DataRef-B257,IF(L257="","",L257-B257)))</f>
        <v>106</v>
      </c>
      <c r="O257" s="50" t="str">
        <f aca="false">IF(M257&lt;&gt;"Aberta","",IF(AND(K257&lt;&gt;"",K257&lt;DataRef),"Previsão vencida",IF(N257&gt;DiasParada,"Parada","")))</f>
        <v>Previsão vencida</v>
      </c>
    </row>
    <row r="258" customFormat="false" ht="15" hidden="false" customHeight="false" outlineLevel="0" collapsed="false">
      <c r="A258" s="44" t="s">
        <v>408</v>
      </c>
      <c r="B258" s="45" t="n">
        <v>46202</v>
      </c>
      <c r="C258" s="46" t="s">
        <v>153</v>
      </c>
      <c r="D258" s="46" t="s">
        <v>131</v>
      </c>
      <c r="E258" s="7" t="str">
        <f aca="false">IF(C258="","",IFERROR(INDEX(cl_Regiao,MATCH(C258,cl_Nome,0)),""))</f>
        <v>Centro-Oeste</v>
      </c>
      <c r="F258" s="46" t="s">
        <v>115</v>
      </c>
      <c r="G258" s="46" t="s">
        <v>116</v>
      </c>
      <c r="H258" s="47" t="n">
        <v>27100</v>
      </c>
      <c r="I258" s="48" t="n">
        <f aca="false">IF(G258="","",IFERROR(INDEX(pr_Prob,MATCH(G258,pr_Etapa,0)),0))</f>
        <v>1</v>
      </c>
      <c r="J258" s="49" t="n">
        <f aca="false">IF(H258="","",H258*I258)</f>
        <v>27100</v>
      </c>
      <c r="K258" s="45"/>
      <c r="L258" s="45" t="n">
        <v>46223</v>
      </c>
      <c r="M258" s="50" t="str">
        <f aca="false">IF(G258="","",IF(G258="Fechado ganho","Ganha",IF(G258="Fechado perdido","Perdida","Aberta")))</f>
        <v>Ganha</v>
      </c>
      <c r="N258" s="51" t="n">
        <f aca="false">IF(B258="","",IF(M258="Aberta",DataRef-B258,IF(L258="","",L258-B258)))</f>
        <v>21</v>
      </c>
      <c r="O258" s="50" t="str">
        <f aca="false">IF(M258&lt;&gt;"Aberta","",IF(AND(K258&lt;&gt;"",K258&lt;DataRef),"Previsão vencida",IF(N258&gt;DiasParada,"Parada","")))</f>
        <v/>
      </c>
    </row>
    <row r="259" customFormat="false" ht="15" hidden="false" customHeight="false" outlineLevel="0" collapsed="false">
      <c r="A259" s="44" t="s">
        <v>409</v>
      </c>
      <c r="B259" s="45" t="n">
        <v>46205</v>
      </c>
      <c r="C259" s="46" t="s">
        <v>113</v>
      </c>
      <c r="D259" s="46" t="s">
        <v>114</v>
      </c>
      <c r="E259" s="7" t="str">
        <f aca="false">IF(C259="","",IFERROR(INDEX(cl_Regiao,MATCH(C259,cl_Nome,0)),""))</f>
        <v>Norte</v>
      </c>
      <c r="F259" s="46" t="s">
        <v>128</v>
      </c>
      <c r="G259" s="46" t="s">
        <v>116</v>
      </c>
      <c r="H259" s="47" t="n">
        <v>11200</v>
      </c>
      <c r="I259" s="48" t="n">
        <f aca="false">IF(G259="","",IFERROR(INDEX(pr_Prob,MATCH(G259,pr_Etapa,0)),0))</f>
        <v>1</v>
      </c>
      <c r="J259" s="49" t="n">
        <f aca="false">IF(H259="","",H259*I259)</f>
        <v>11200</v>
      </c>
      <c r="K259" s="45"/>
      <c r="L259" s="45" t="n">
        <v>46269</v>
      </c>
      <c r="M259" s="50" t="str">
        <f aca="false">IF(G259="","",IF(G259="Fechado ganho","Ganha",IF(G259="Fechado perdido","Perdida","Aberta")))</f>
        <v>Ganha</v>
      </c>
      <c r="N259" s="51" t="n">
        <f aca="false">IF(B259="","",IF(M259="Aberta",DataRef-B259,IF(L259="","",L259-B259)))</f>
        <v>64</v>
      </c>
      <c r="O259" s="50" t="str">
        <f aca="false">IF(M259&lt;&gt;"Aberta","",IF(AND(K259&lt;&gt;"",K259&lt;DataRef),"Previsão vencida",IF(N259&gt;DiasParada,"Parada","")))</f>
        <v/>
      </c>
    </row>
    <row r="260" customFormat="false" ht="15" hidden="false" customHeight="false" outlineLevel="0" collapsed="false">
      <c r="A260" s="44" t="s">
        <v>410</v>
      </c>
      <c r="B260" s="45" t="n">
        <v>46205</v>
      </c>
      <c r="C260" s="46" t="s">
        <v>201</v>
      </c>
      <c r="D260" s="46" t="s">
        <v>127</v>
      </c>
      <c r="E260" s="7" t="str">
        <f aca="false">IF(C260="","",IFERROR(INDEX(cl_Regiao,MATCH(C260,cl_Nome,0)),""))</f>
        <v>Sul</v>
      </c>
      <c r="F260" s="46" t="s">
        <v>128</v>
      </c>
      <c r="G260" s="46" t="s">
        <v>224</v>
      </c>
      <c r="H260" s="47" t="n">
        <v>18000</v>
      </c>
      <c r="I260" s="48" t="n">
        <f aca="false">IF(G260="","",IFERROR(INDEX(pr_Prob,MATCH(G260,pr_Etapa,0)),0))</f>
        <v>0.25</v>
      </c>
      <c r="J260" s="49" t="n">
        <f aca="false">IF(H260="","",H260*I260)</f>
        <v>4500</v>
      </c>
      <c r="K260" s="45" t="n">
        <v>46309</v>
      </c>
      <c r="L260" s="45"/>
      <c r="M260" s="50" t="str">
        <f aca="false">IF(G260="","",IF(G260="Fechado ganho","Ganha",IF(G260="Fechado perdido","Perdida","Aberta")))</f>
        <v>Aberta</v>
      </c>
      <c r="N260" s="51" t="n">
        <f aca="false">IF(B260="","",IF(M260="Aberta",DataRef-B260,IF(L260="","",L260-B260)))</f>
        <v>103</v>
      </c>
      <c r="O260" s="50" t="str">
        <f aca="false">IF(M260&lt;&gt;"Aberta","",IF(AND(K260&lt;&gt;"",K260&lt;DataRef),"Previsão vencida",IF(N260&gt;DiasParada,"Parada","")))</f>
        <v>Parada</v>
      </c>
    </row>
    <row r="261" customFormat="false" ht="15" hidden="false" customHeight="false" outlineLevel="0" collapsed="false">
      <c r="A261" s="44" t="s">
        <v>411</v>
      </c>
      <c r="B261" s="45" t="n">
        <v>46205</v>
      </c>
      <c r="C261" s="46" t="s">
        <v>126</v>
      </c>
      <c r="D261" s="46" t="s">
        <v>127</v>
      </c>
      <c r="E261" s="7" t="str">
        <f aca="false">IF(C261="","",IFERROR(INDEX(cl_Regiao,MATCH(C261,cl_Nome,0)),""))</f>
        <v>Sul</v>
      </c>
      <c r="F261" s="46" t="s">
        <v>128</v>
      </c>
      <c r="G261" s="46" t="s">
        <v>116</v>
      </c>
      <c r="H261" s="47" t="n">
        <v>52900</v>
      </c>
      <c r="I261" s="48" t="n">
        <f aca="false">IF(G261="","",IFERROR(INDEX(pr_Prob,MATCH(G261,pr_Etapa,0)),0))</f>
        <v>1</v>
      </c>
      <c r="J261" s="49" t="n">
        <f aca="false">IF(H261="","",H261*I261)</f>
        <v>52900</v>
      </c>
      <c r="K261" s="45"/>
      <c r="L261" s="45" t="n">
        <v>46226</v>
      </c>
      <c r="M261" s="50" t="str">
        <f aca="false">IF(G261="","",IF(G261="Fechado ganho","Ganha",IF(G261="Fechado perdido","Perdida","Aberta")))</f>
        <v>Ganha</v>
      </c>
      <c r="N261" s="51" t="n">
        <f aca="false">IF(B261="","",IF(M261="Aberta",DataRef-B261,IF(L261="","",L261-B261)))</f>
        <v>21</v>
      </c>
      <c r="O261" s="50" t="str">
        <f aca="false">IF(M261&lt;&gt;"Aberta","",IF(AND(K261&lt;&gt;"",K261&lt;DataRef),"Previsão vencida",IF(N261&gt;DiasParada,"Parada","")))</f>
        <v/>
      </c>
    </row>
    <row r="262" customFormat="false" ht="15" hidden="false" customHeight="false" outlineLevel="0" collapsed="false">
      <c r="A262" s="44" t="s">
        <v>412</v>
      </c>
      <c r="B262" s="45" t="n">
        <v>46206</v>
      </c>
      <c r="C262" s="46" t="s">
        <v>171</v>
      </c>
      <c r="D262" s="46" t="s">
        <v>165</v>
      </c>
      <c r="E262" s="7" t="str">
        <f aca="false">IF(C262="","",IFERROR(INDEX(cl_Regiao,MATCH(C262,cl_Nome,0)),""))</f>
        <v>Nordeste</v>
      </c>
      <c r="F262" s="46" t="s">
        <v>110</v>
      </c>
      <c r="G262" s="46" t="s">
        <v>368</v>
      </c>
      <c r="H262" s="47" t="n">
        <v>2300</v>
      </c>
      <c r="I262" s="48" t="n">
        <f aca="false">IF(G262="","",IFERROR(INDEX(pr_Prob,MATCH(G262,pr_Etapa,0)),0))</f>
        <v>0.75</v>
      </c>
      <c r="J262" s="49" t="n">
        <f aca="false">IF(H262="","",H262*I262)</f>
        <v>1725</v>
      </c>
      <c r="K262" s="45" t="n">
        <v>46275</v>
      </c>
      <c r="L262" s="45"/>
      <c r="M262" s="50" t="str">
        <f aca="false">IF(G262="","",IF(G262="Fechado ganho","Ganha",IF(G262="Fechado perdido","Perdida","Aberta")))</f>
        <v>Aberta</v>
      </c>
      <c r="N262" s="51" t="n">
        <f aca="false">IF(B262="","",IF(M262="Aberta",DataRef-B262,IF(L262="","",L262-B262)))</f>
        <v>102</v>
      </c>
      <c r="O262" s="50" t="str">
        <f aca="false">IF(M262&lt;&gt;"Aberta","",IF(AND(K262&lt;&gt;"",K262&lt;DataRef),"Previsão vencida",IF(N262&gt;DiasParada,"Parada","")))</f>
        <v>Previsão vencida</v>
      </c>
    </row>
    <row r="263" customFormat="false" ht="15" hidden="false" customHeight="false" outlineLevel="0" collapsed="false">
      <c r="A263" s="44" t="s">
        <v>413</v>
      </c>
      <c r="B263" s="45" t="n">
        <v>46206</v>
      </c>
      <c r="C263" s="46" t="s">
        <v>175</v>
      </c>
      <c r="D263" s="46" t="s">
        <v>114</v>
      </c>
      <c r="E263" s="7" t="str">
        <f aca="false">IF(C263="","",IFERROR(INDEX(cl_Regiao,MATCH(C263,cl_Nome,0)),""))</f>
        <v>Norte</v>
      </c>
      <c r="F263" s="46" t="s">
        <v>122</v>
      </c>
      <c r="G263" s="46" t="s">
        <v>111</v>
      </c>
      <c r="H263" s="47" t="n">
        <v>10700</v>
      </c>
      <c r="I263" s="48" t="n">
        <f aca="false">IF(G263="","",IFERROR(INDEX(pr_Prob,MATCH(G263,pr_Etapa,0)),0))</f>
        <v>0</v>
      </c>
      <c r="J263" s="49" t="n">
        <f aca="false">IF(H263="","",H263*I263)</f>
        <v>0</v>
      </c>
      <c r="K263" s="45"/>
      <c r="L263" s="45" t="n">
        <v>46236</v>
      </c>
      <c r="M263" s="50" t="str">
        <f aca="false">IF(G263="","",IF(G263="Fechado ganho","Ganha",IF(G263="Fechado perdido","Perdida","Aberta")))</f>
        <v>Perdida</v>
      </c>
      <c r="N263" s="51" t="n">
        <f aca="false">IF(B263="","",IF(M263="Aberta",DataRef-B263,IF(L263="","",L263-B263)))</f>
        <v>30</v>
      </c>
      <c r="O263" s="50" t="str">
        <f aca="false">IF(M263&lt;&gt;"Aberta","",IF(AND(K263&lt;&gt;"",K263&lt;DataRef),"Previsão vencida",IF(N263&gt;DiasParada,"Parada","")))</f>
        <v/>
      </c>
    </row>
    <row r="264" customFormat="false" ht="15" hidden="false" customHeight="false" outlineLevel="0" collapsed="false">
      <c r="A264" s="44" t="s">
        <v>414</v>
      </c>
      <c r="B264" s="45" t="n">
        <v>46207</v>
      </c>
      <c r="C264" s="46" t="s">
        <v>145</v>
      </c>
      <c r="D264" s="46" t="s">
        <v>114</v>
      </c>
      <c r="E264" s="7" t="str">
        <f aca="false">IF(C264="","",IFERROR(INDEX(cl_Regiao,MATCH(C264,cl_Nome,0)),""))</f>
        <v>Norte</v>
      </c>
      <c r="F264" s="46" t="s">
        <v>115</v>
      </c>
      <c r="G264" s="46" t="s">
        <v>116</v>
      </c>
      <c r="H264" s="47" t="n">
        <v>77700</v>
      </c>
      <c r="I264" s="48" t="n">
        <f aca="false">IF(G264="","",IFERROR(INDEX(pr_Prob,MATCH(G264,pr_Etapa,0)),0))</f>
        <v>1</v>
      </c>
      <c r="J264" s="49" t="n">
        <f aca="false">IF(H264="","",H264*I264)</f>
        <v>77700</v>
      </c>
      <c r="K264" s="45"/>
      <c r="L264" s="45" t="n">
        <v>46225</v>
      </c>
      <c r="M264" s="50" t="str">
        <f aca="false">IF(G264="","",IF(G264="Fechado ganho","Ganha",IF(G264="Fechado perdido","Perdida","Aberta")))</f>
        <v>Ganha</v>
      </c>
      <c r="N264" s="51" t="n">
        <f aca="false">IF(B264="","",IF(M264="Aberta",DataRef-B264,IF(L264="","",L264-B264)))</f>
        <v>18</v>
      </c>
      <c r="O264" s="50" t="str">
        <f aca="false">IF(M264&lt;&gt;"Aberta","",IF(AND(K264&lt;&gt;"",K264&lt;DataRef),"Previsão vencida",IF(N264&gt;DiasParada,"Parada","")))</f>
        <v/>
      </c>
    </row>
    <row r="265" customFormat="false" ht="15" hidden="false" customHeight="false" outlineLevel="0" collapsed="false">
      <c r="A265" s="44" t="s">
        <v>415</v>
      </c>
      <c r="B265" s="45" t="n">
        <v>46207</v>
      </c>
      <c r="C265" s="46" t="s">
        <v>180</v>
      </c>
      <c r="D265" s="46" t="s">
        <v>127</v>
      </c>
      <c r="E265" s="7" t="str">
        <f aca="false">IF(C265="","",IFERROR(INDEX(cl_Regiao,MATCH(C265,cl_Nome,0)),""))</f>
        <v>Sul</v>
      </c>
      <c r="F265" s="46" t="s">
        <v>110</v>
      </c>
      <c r="G265" s="46" t="s">
        <v>116</v>
      </c>
      <c r="H265" s="47" t="n">
        <v>30700</v>
      </c>
      <c r="I265" s="48" t="n">
        <f aca="false">IF(G265="","",IFERROR(INDEX(pr_Prob,MATCH(G265,pr_Etapa,0)),0))</f>
        <v>1</v>
      </c>
      <c r="J265" s="49" t="n">
        <f aca="false">IF(H265="","",H265*I265)</f>
        <v>30700</v>
      </c>
      <c r="K265" s="45"/>
      <c r="L265" s="45" t="n">
        <v>46282</v>
      </c>
      <c r="M265" s="50" t="str">
        <f aca="false">IF(G265="","",IF(G265="Fechado ganho","Ganha",IF(G265="Fechado perdido","Perdida","Aberta")))</f>
        <v>Ganha</v>
      </c>
      <c r="N265" s="51" t="n">
        <f aca="false">IF(B265="","",IF(M265="Aberta",DataRef-B265,IF(L265="","",L265-B265)))</f>
        <v>75</v>
      </c>
      <c r="O265" s="50" t="str">
        <f aca="false">IF(M265&lt;&gt;"Aberta","",IF(AND(K265&lt;&gt;"",K265&lt;DataRef),"Previsão vencida",IF(N265&gt;DiasParada,"Parada","")))</f>
        <v/>
      </c>
    </row>
    <row r="266" customFormat="false" ht="15" hidden="false" customHeight="false" outlineLevel="0" collapsed="false">
      <c r="A266" s="44" t="s">
        <v>416</v>
      </c>
      <c r="B266" s="45" t="n">
        <v>46209</v>
      </c>
      <c r="C266" s="46" t="s">
        <v>108</v>
      </c>
      <c r="D266" s="46" t="s">
        <v>109</v>
      </c>
      <c r="E266" s="7" t="str">
        <f aca="false">IF(C266="","",IFERROR(INDEX(cl_Regiao,MATCH(C266,cl_Nome,0)),""))</f>
        <v>Sudeste</v>
      </c>
      <c r="F266" s="46" t="s">
        <v>110</v>
      </c>
      <c r="G266" s="46" t="s">
        <v>116</v>
      </c>
      <c r="H266" s="47" t="n">
        <v>5700</v>
      </c>
      <c r="I266" s="48" t="n">
        <f aca="false">IF(G266="","",IFERROR(INDEX(pr_Prob,MATCH(G266,pr_Etapa,0)),0))</f>
        <v>1</v>
      </c>
      <c r="J266" s="49" t="n">
        <f aca="false">IF(H266="","",H266*I266)</f>
        <v>5700</v>
      </c>
      <c r="K266" s="45"/>
      <c r="L266" s="45" t="n">
        <v>46254</v>
      </c>
      <c r="M266" s="50" t="str">
        <f aca="false">IF(G266="","",IF(G266="Fechado ganho","Ganha",IF(G266="Fechado perdido","Perdida","Aberta")))</f>
        <v>Ganha</v>
      </c>
      <c r="N266" s="51" t="n">
        <f aca="false">IF(B266="","",IF(M266="Aberta",DataRef-B266,IF(L266="","",L266-B266)))</f>
        <v>45</v>
      </c>
      <c r="O266" s="50" t="str">
        <f aca="false">IF(M266&lt;&gt;"Aberta","",IF(AND(K266&lt;&gt;"",K266&lt;DataRef),"Previsão vencida",IF(N266&gt;DiasParada,"Parada","")))</f>
        <v/>
      </c>
    </row>
    <row r="267" customFormat="false" ht="15" hidden="false" customHeight="false" outlineLevel="0" collapsed="false">
      <c r="A267" s="44" t="s">
        <v>417</v>
      </c>
      <c r="B267" s="45" t="n">
        <v>46210</v>
      </c>
      <c r="C267" s="46" t="s">
        <v>113</v>
      </c>
      <c r="D267" s="46" t="s">
        <v>114</v>
      </c>
      <c r="E267" s="7" t="str">
        <f aca="false">IF(C267="","",IFERROR(INDEX(cl_Regiao,MATCH(C267,cl_Nome,0)),""))</f>
        <v>Norte</v>
      </c>
      <c r="F267" s="46" t="s">
        <v>110</v>
      </c>
      <c r="G267" s="46" t="s">
        <v>116</v>
      </c>
      <c r="H267" s="47" t="n">
        <v>4600</v>
      </c>
      <c r="I267" s="48" t="n">
        <f aca="false">IF(G267="","",IFERROR(INDEX(pr_Prob,MATCH(G267,pr_Etapa,0)),0))</f>
        <v>1</v>
      </c>
      <c r="J267" s="49" t="n">
        <f aca="false">IF(H267="","",H267*I267)</f>
        <v>4600</v>
      </c>
      <c r="K267" s="45"/>
      <c r="L267" s="45" t="n">
        <v>46235</v>
      </c>
      <c r="M267" s="50" t="str">
        <f aca="false">IF(G267="","",IF(G267="Fechado ganho","Ganha",IF(G267="Fechado perdido","Perdida","Aberta")))</f>
        <v>Ganha</v>
      </c>
      <c r="N267" s="51" t="n">
        <f aca="false">IF(B267="","",IF(M267="Aberta",DataRef-B267,IF(L267="","",L267-B267)))</f>
        <v>25</v>
      </c>
      <c r="O267" s="50" t="str">
        <f aca="false">IF(M267&lt;&gt;"Aberta","",IF(AND(K267&lt;&gt;"",K267&lt;DataRef),"Previsão vencida",IF(N267&gt;DiasParada,"Parada","")))</f>
        <v/>
      </c>
    </row>
    <row r="268" customFormat="false" ht="15" hidden="false" customHeight="false" outlineLevel="0" collapsed="false">
      <c r="A268" s="44" t="s">
        <v>418</v>
      </c>
      <c r="B268" s="45" t="n">
        <v>46210</v>
      </c>
      <c r="C268" s="46" t="s">
        <v>201</v>
      </c>
      <c r="D268" s="46" t="s">
        <v>127</v>
      </c>
      <c r="E268" s="7" t="str">
        <f aca="false">IF(C268="","",IFERROR(INDEX(cl_Regiao,MATCH(C268,cl_Nome,0)),""))</f>
        <v>Sul</v>
      </c>
      <c r="F268" s="46" t="s">
        <v>115</v>
      </c>
      <c r="G268" s="46" t="s">
        <v>124</v>
      </c>
      <c r="H268" s="47" t="n">
        <v>7700</v>
      </c>
      <c r="I268" s="48" t="n">
        <f aca="false">IF(G268="","",IFERROR(INDEX(pr_Prob,MATCH(G268,pr_Etapa,0)),0))</f>
        <v>0.5</v>
      </c>
      <c r="J268" s="49" t="n">
        <f aca="false">IF(H268="","",H268*I268)</f>
        <v>3850</v>
      </c>
      <c r="K268" s="45" t="n">
        <v>46264</v>
      </c>
      <c r="L268" s="45"/>
      <c r="M268" s="50" t="str">
        <f aca="false">IF(G268="","",IF(G268="Fechado ganho","Ganha",IF(G268="Fechado perdido","Perdida","Aberta")))</f>
        <v>Aberta</v>
      </c>
      <c r="N268" s="51" t="n">
        <f aca="false">IF(B268="","",IF(M268="Aberta",DataRef-B268,IF(L268="","",L268-B268)))</f>
        <v>98</v>
      </c>
      <c r="O268" s="50" t="str">
        <f aca="false">IF(M268&lt;&gt;"Aberta","",IF(AND(K268&lt;&gt;"",K268&lt;DataRef),"Previsão vencida",IF(N268&gt;DiasParada,"Parada","")))</f>
        <v>Previsão vencida</v>
      </c>
    </row>
    <row r="269" customFormat="false" ht="15" hidden="false" customHeight="false" outlineLevel="0" collapsed="false">
      <c r="A269" s="44" t="s">
        <v>419</v>
      </c>
      <c r="B269" s="45" t="n">
        <v>46210</v>
      </c>
      <c r="C269" s="46" t="s">
        <v>180</v>
      </c>
      <c r="D269" s="46" t="s">
        <v>127</v>
      </c>
      <c r="E269" s="7" t="str">
        <f aca="false">IF(C269="","",IFERROR(INDEX(cl_Regiao,MATCH(C269,cl_Nome,0)),""))</f>
        <v>Sul</v>
      </c>
      <c r="F269" s="46" t="s">
        <v>110</v>
      </c>
      <c r="G269" s="46" t="s">
        <v>111</v>
      </c>
      <c r="H269" s="47" t="n">
        <v>20300</v>
      </c>
      <c r="I269" s="48" t="n">
        <f aca="false">IF(G269="","",IFERROR(INDEX(pr_Prob,MATCH(G269,pr_Etapa,0)),0))</f>
        <v>0</v>
      </c>
      <c r="J269" s="49" t="n">
        <f aca="false">IF(H269="","",H269*I269)</f>
        <v>0</v>
      </c>
      <c r="K269" s="45"/>
      <c r="L269" s="45" t="n">
        <v>46253</v>
      </c>
      <c r="M269" s="50" t="str">
        <f aca="false">IF(G269="","",IF(G269="Fechado ganho","Ganha",IF(G269="Fechado perdido","Perdida","Aberta")))</f>
        <v>Perdida</v>
      </c>
      <c r="N269" s="51" t="n">
        <f aca="false">IF(B269="","",IF(M269="Aberta",DataRef-B269,IF(L269="","",L269-B269)))</f>
        <v>43</v>
      </c>
      <c r="O269" s="50" t="str">
        <f aca="false">IF(M269&lt;&gt;"Aberta","",IF(AND(K269&lt;&gt;"",K269&lt;DataRef),"Previsão vencida",IF(N269&gt;DiasParada,"Parada","")))</f>
        <v/>
      </c>
    </row>
    <row r="270" customFormat="false" ht="15" hidden="false" customHeight="false" outlineLevel="0" collapsed="false">
      <c r="A270" s="44" t="s">
        <v>420</v>
      </c>
      <c r="B270" s="45" t="n">
        <v>46210</v>
      </c>
      <c r="C270" s="46" t="s">
        <v>207</v>
      </c>
      <c r="D270" s="46" t="s">
        <v>165</v>
      </c>
      <c r="E270" s="7" t="str">
        <f aca="false">IF(C270="","",IFERROR(INDEX(cl_Regiao,MATCH(C270,cl_Nome,0)),""))</f>
        <v>Nordeste</v>
      </c>
      <c r="F270" s="46" t="s">
        <v>128</v>
      </c>
      <c r="G270" s="46" t="s">
        <v>116</v>
      </c>
      <c r="H270" s="47" t="n">
        <v>19700</v>
      </c>
      <c r="I270" s="48" t="n">
        <f aca="false">IF(G270="","",IFERROR(INDEX(pr_Prob,MATCH(G270,pr_Etapa,0)),0))</f>
        <v>1</v>
      </c>
      <c r="J270" s="49" t="n">
        <f aca="false">IF(H270="","",H270*I270)</f>
        <v>19700</v>
      </c>
      <c r="K270" s="45"/>
      <c r="L270" s="45" t="n">
        <v>46237</v>
      </c>
      <c r="M270" s="50" t="str">
        <f aca="false">IF(G270="","",IF(G270="Fechado ganho","Ganha",IF(G270="Fechado perdido","Perdida","Aberta")))</f>
        <v>Ganha</v>
      </c>
      <c r="N270" s="51" t="n">
        <f aca="false">IF(B270="","",IF(M270="Aberta",DataRef-B270,IF(L270="","",L270-B270)))</f>
        <v>27</v>
      </c>
      <c r="O270" s="50" t="str">
        <f aca="false">IF(M270&lt;&gt;"Aberta","",IF(AND(K270&lt;&gt;"",K270&lt;DataRef),"Previsão vencida",IF(N270&gt;DiasParada,"Parada","")))</f>
        <v/>
      </c>
    </row>
    <row r="271" customFormat="false" ht="15" hidden="false" customHeight="false" outlineLevel="0" collapsed="false">
      <c r="A271" s="44" t="s">
        <v>421</v>
      </c>
      <c r="B271" s="45" t="n">
        <v>46211</v>
      </c>
      <c r="C271" s="46" t="s">
        <v>137</v>
      </c>
      <c r="D271" s="46" t="s">
        <v>114</v>
      </c>
      <c r="E271" s="7" t="str">
        <f aca="false">IF(C271="","",IFERROR(INDEX(cl_Regiao,MATCH(C271,cl_Nome,0)),""))</f>
        <v>Norte</v>
      </c>
      <c r="F271" s="46" t="s">
        <v>128</v>
      </c>
      <c r="G271" s="46" t="s">
        <v>116</v>
      </c>
      <c r="H271" s="47" t="n">
        <v>8200</v>
      </c>
      <c r="I271" s="48" t="n">
        <f aca="false">IF(G271="","",IFERROR(INDEX(pr_Prob,MATCH(G271,pr_Etapa,0)),0))</f>
        <v>1</v>
      </c>
      <c r="J271" s="49" t="n">
        <f aca="false">IF(H271="","",H271*I271)</f>
        <v>8200</v>
      </c>
      <c r="K271" s="45"/>
      <c r="L271" s="45" t="n">
        <v>46247</v>
      </c>
      <c r="M271" s="50" t="str">
        <f aca="false">IF(G271="","",IF(G271="Fechado ganho","Ganha",IF(G271="Fechado perdido","Perdida","Aberta")))</f>
        <v>Ganha</v>
      </c>
      <c r="N271" s="51" t="n">
        <f aca="false">IF(B271="","",IF(M271="Aberta",DataRef-B271,IF(L271="","",L271-B271)))</f>
        <v>36</v>
      </c>
      <c r="O271" s="50" t="str">
        <f aca="false">IF(M271&lt;&gt;"Aberta","",IF(AND(K271&lt;&gt;"",K271&lt;DataRef),"Previsão vencida",IF(N271&gt;DiasParada,"Parada","")))</f>
        <v/>
      </c>
    </row>
    <row r="272" customFormat="false" ht="15" hidden="false" customHeight="false" outlineLevel="0" collapsed="false">
      <c r="A272" s="44" t="s">
        <v>422</v>
      </c>
      <c r="B272" s="45" t="n">
        <v>46211</v>
      </c>
      <c r="C272" s="46" t="s">
        <v>148</v>
      </c>
      <c r="D272" s="46" t="s">
        <v>109</v>
      </c>
      <c r="E272" s="7" t="str">
        <f aca="false">IF(C272="","",IFERROR(INDEX(cl_Regiao,MATCH(C272,cl_Nome,0)),""))</f>
        <v>Sudeste</v>
      </c>
      <c r="F272" s="46" t="s">
        <v>122</v>
      </c>
      <c r="G272" s="46" t="s">
        <v>111</v>
      </c>
      <c r="H272" s="47" t="n">
        <v>13700</v>
      </c>
      <c r="I272" s="48" t="n">
        <f aca="false">IF(G272="","",IFERROR(INDEX(pr_Prob,MATCH(G272,pr_Etapa,0)),0))</f>
        <v>0</v>
      </c>
      <c r="J272" s="49" t="n">
        <f aca="false">IF(H272="","",H272*I272)</f>
        <v>0</v>
      </c>
      <c r="K272" s="45"/>
      <c r="L272" s="45" t="n">
        <v>46274</v>
      </c>
      <c r="M272" s="50" t="str">
        <f aca="false">IF(G272="","",IF(G272="Fechado ganho","Ganha",IF(G272="Fechado perdido","Perdida","Aberta")))</f>
        <v>Perdida</v>
      </c>
      <c r="N272" s="51" t="n">
        <f aca="false">IF(B272="","",IF(M272="Aberta",DataRef-B272,IF(L272="","",L272-B272)))</f>
        <v>63</v>
      </c>
      <c r="O272" s="50" t="str">
        <f aca="false">IF(M272&lt;&gt;"Aberta","",IF(AND(K272&lt;&gt;"",K272&lt;DataRef),"Previsão vencida",IF(N272&gt;DiasParada,"Parada","")))</f>
        <v/>
      </c>
    </row>
    <row r="273" customFormat="false" ht="15" hidden="false" customHeight="false" outlineLevel="0" collapsed="false">
      <c r="A273" s="44" t="s">
        <v>423</v>
      </c>
      <c r="B273" s="45" t="n">
        <v>46211</v>
      </c>
      <c r="C273" s="46" t="s">
        <v>180</v>
      </c>
      <c r="D273" s="46" t="s">
        <v>127</v>
      </c>
      <c r="E273" s="7" t="str">
        <f aca="false">IF(C273="","",IFERROR(INDEX(cl_Regiao,MATCH(C273,cl_Nome,0)),""))</f>
        <v>Sul</v>
      </c>
      <c r="F273" s="46" t="s">
        <v>122</v>
      </c>
      <c r="G273" s="46" t="s">
        <v>224</v>
      </c>
      <c r="H273" s="47" t="n">
        <v>20100</v>
      </c>
      <c r="I273" s="48" t="n">
        <f aca="false">IF(G273="","",IFERROR(INDEX(pr_Prob,MATCH(G273,pr_Etapa,0)),0))</f>
        <v>0.25</v>
      </c>
      <c r="J273" s="49" t="n">
        <f aca="false">IF(H273="","",H273*I273)</f>
        <v>5025</v>
      </c>
      <c r="K273" s="45" t="n">
        <v>46321</v>
      </c>
      <c r="L273" s="45"/>
      <c r="M273" s="50" t="str">
        <f aca="false">IF(G273="","",IF(G273="Fechado ganho","Ganha",IF(G273="Fechado perdido","Perdida","Aberta")))</f>
        <v>Aberta</v>
      </c>
      <c r="N273" s="51" t="n">
        <f aca="false">IF(B273="","",IF(M273="Aberta",DataRef-B273,IF(L273="","",L273-B273)))</f>
        <v>97</v>
      </c>
      <c r="O273" s="50" t="str">
        <f aca="false">IF(M273&lt;&gt;"Aberta","",IF(AND(K273&lt;&gt;"",K273&lt;DataRef),"Previsão vencida",IF(N273&gt;DiasParada,"Parada","")))</f>
        <v>Parada</v>
      </c>
    </row>
    <row r="274" customFormat="false" ht="15" hidden="false" customHeight="false" outlineLevel="0" collapsed="false">
      <c r="A274" s="44" t="s">
        <v>424</v>
      </c>
      <c r="B274" s="45" t="n">
        <v>46212</v>
      </c>
      <c r="C274" s="46" t="s">
        <v>180</v>
      </c>
      <c r="D274" s="46" t="s">
        <v>127</v>
      </c>
      <c r="E274" s="7" t="str">
        <f aca="false">IF(C274="","",IFERROR(INDEX(cl_Regiao,MATCH(C274,cl_Nome,0)),""))</f>
        <v>Sul</v>
      </c>
      <c r="F274" s="46" t="s">
        <v>115</v>
      </c>
      <c r="G274" s="46" t="s">
        <v>368</v>
      </c>
      <c r="H274" s="47" t="n">
        <v>100700</v>
      </c>
      <c r="I274" s="48" t="n">
        <f aca="false">IF(G274="","",IFERROR(INDEX(pr_Prob,MATCH(G274,pr_Etapa,0)),0))</f>
        <v>0.75</v>
      </c>
      <c r="J274" s="49" t="n">
        <f aca="false">IF(H274="","",H274*I274)</f>
        <v>75525</v>
      </c>
      <c r="K274" s="45" t="n">
        <v>46307</v>
      </c>
      <c r="L274" s="45"/>
      <c r="M274" s="50" t="str">
        <f aca="false">IF(G274="","",IF(G274="Fechado ganho","Ganha",IF(G274="Fechado perdido","Perdida","Aberta")))</f>
        <v>Aberta</v>
      </c>
      <c r="N274" s="51" t="n">
        <f aca="false">IF(B274="","",IF(M274="Aberta",DataRef-B274,IF(L274="","",L274-B274)))</f>
        <v>96</v>
      </c>
      <c r="O274" s="50" t="str">
        <f aca="false">IF(M274&lt;&gt;"Aberta","",IF(AND(K274&lt;&gt;"",K274&lt;DataRef),"Previsão vencida",IF(N274&gt;DiasParada,"Parada","")))</f>
        <v>Previsão vencida</v>
      </c>
    </row>
    <row r="275" customFormat="false" ht="15" hidden="false" customHeight="false" outlineLevel="0" collapsed="false">
      <c r="A275" s="44" t="s">
        <v>425</v>
      </c>
      <c r="B275" s="45" t="n">
        <v>46213</v>
      </c>
      <c r="C275" s="46" t="s">
        <v>148</v>
      </c>
      <c r="D275" s="46" t="s">
        <v>109</v>
      </c>
      <c r="E275" s="7" t="str">
        <f aca="false">IF(C275="","",IFERROR(INDEX(cl_Regiao,MATCH(C275,cl_Nome,0)),""))</f>
        <v>Sudeste</v>
      </c>
      <c r="F275" s="46" t="s">
        <v>115</v>
      </c>
      <c r="G275" s="46" t="s">
        <v>116</v>
      </c>
      <c r="H275" s="47" t="n">
        <v>61600</v>
      </c>
      <c r="I275" s="48" t="n">
        <f aca="false">IF(G275="","",IFERROR(INDEX(pr_Prob,MATCH(G275,pr_Etapa,0)),0))</f>
        <v>1</v>
      </c>
      <c r="J275" s="49" t="n">
        <f aca="false">IF(H275="","",H275*I275)</f>
        <v>61600</v>
      </c>
      <c r="K275" s="45"/>
      <c r="L275" s="45" t="n">
        <v>46293</v>
      </c>
      <c r="M275" s="50" t="str">
        <f aca="false">IF(G275="","",IF(G275="Fechado ganho","Ganha",IF(G275="Fechado perdido","Perdida","Aberta")))</f>
        <v>Ganha</v>
      </c>
      <c r="N275" s="51" t="n">
        <f aca="false">IF(B275="","",IF(M275="Aberta",DataRef-B275,IF(L275="","",L275-B275)))</f>
        <v>80</v>
      </c>
      <c r="O275" s="50" t="str">
        <f aca="false">IF(M275&lt;&gt;"Aberta","",IF(AND(K275&lt;&gt;"",K275&lt;DataRef),"Previsão vencida",IF(N275&gt;DiasParada,"Parada","")))</f>
        <v/>
      </c>
    </row>
    <row r="276" customFormat="false" ht="15" hidden="false" customHeight="false" outlineLevel="0" collapsed="false">
      <c r="A276" s="44" t="s">
        <v>426</v>
      </c>
      <c r="B276" s="45" t="n">
        <v>46213</v>
      </c>
      <c r="C276" s="46" t="s">
        <v>207</v>
      </c>
      <c r="D276" s="46" t="s">
        <v>165</v>
      </c>
      <c r="E276" s="7" t="str">
        <f aca="false">IF(C276="","",IFERROR(INDEX(cl_Regiao,MATCH(C276,cl_Nome,0)),""))</f>
        <v>Nordeste</v>
      </c>
      <c r="F276" s="46" t="s">
        <v>115</v>
      </c>
      <c r="G276" s="46" t="s">
        <v>368</v>
      </c>
      <c r="H276" s="47" t="n">
        <v>56000</v>
      </c>
      <c r="I276" s="48" t="n">
        <f aca="false">IF(G276="","",IFERROR(INDEX(pr_Prob,MATCH(G276,pr_Etapa,0)),0))</f>
        <v>0.75</v>
      </c>
      <c r="J276" s="49" t="n">
        <f aca="false">IF(H276="","",H276*I276)</f>
        <v>42000</v>
      </c>
      <c r="K276" s="45" t="n">
        <v>46251</v>
      </c>
      <c r="L276" s="45"/>
      <c r="M276" s="50" t="str">
        <f aca="false">IF(G276="","",IF(G276="Fechado ganho","Ganha",IF(G276="Fechado perdido","Perdida","Aberta")))</f>
        <v>Aberta</v>
      </c>
      <c r="N276" s="51" t="n">
        <f aca="false">IF(B276="","",IF(M276="Aberta",DataRef-B276,IF(L276="","",L276-B276)))</f>
        <v>95</v>
      </c>
      <c r="O276" s="50" t="str">
        <f aca="false">IF(M276&lt;&gt;"Aberta","",IF(AND(K276&lt;&gt;"",K276&lt;DataRef),"Previsão vencida",IF(N276&gt;DiasParada,"Parada","")))</f>
        <v>Previsão vencida</v>
      </c>
    </row>
    <row r="277" customFormat="false" ht="15" hidden="false" customHeight="false" outlineLevel="0" collapsed="false">
      <c r="A277" s="44" t="s">
        <v>427</v>
      </c>
      <c r="B277" s="45" t="n">
        <v>46214</v>
      </c>
      <c r="C277" s="46" t="s">
        <v>192</v>
      </c>
      <c r="D277" s="46" t="s">
        <v>119</v>
      </c>
      <c r="E277" s="7" t="str">
        <f aca="false">IF(C277="","",IFERROR(INDEX(cl_Regiao,MATCH(C277,cl_Nome,0)),""))</f>
        <v>Sudeste</v>
      </c>
      <c r="F277" s="46" t="s">
        <v>122</v>
      </c>
      <c r="G277" s="46" t="s">
        <v>116</v>
      </c>
      <c r="H277" s="47" t="n">
        <v>6500</v>
      </c>
      <c r="I277" s="48" t="n">
        <f aca="false">IF(G277="","",IFERROR(INDEX(pr_Prob,MATCH(G277,pr_Etapa,0)),0))</f>
        <v>1</v>
      </c>
      <c r="J277" s="49" t="n">
        <f aca="false">IF(H277="","",H277*I277)</f>
        <v>6500</v>
      </c>
      <c r="K277" s="45"/>
      <c r="L277" s="45" t="n">
        <v>46237</v>
      </c>
      <c r="M277" s="50" t="str">
        <f aca="false">IF(G277="","",IF(G277="Fechado ganho","Ganha",IF(G277="Fechado perdido","Perdida","Aberta")))</f>
        <v>Ganha</v>
      </c>
      <c r="N277" s="51" t="n">
        <f aca="false">IF(B277="","",IF(M277="Aberta",DataRef-B277,IF(L277="","",L277-B277)))</f>
        <v>23</v>
      </c>
      <c r="O277" s="50" t="str">
        <f aca="false">IF(M277&lt;&gt;"Aberta","",IF(AND(K277&lt;&gt;"",K277&lt;DataRef),"Previsão vencida",IF(N277&gt;DiasParada,"Parada","")))</f>
        <v/>
      </c>
    </row>
    <row r="278" customFormat="false" ht="15" hidden="false" customHeight="false" outlineLevel="0" collapsed="false">
      <c r="A278" s="44" t="s">
        <v>428</v>
      </c>
      <c r="B278" s="45" t="n">
        <v>46214</v>
      </c>
      <c r="C278" s="46" t="s">
        <v>133</v>
      </c>
      <c r="D278" s="46" t="s">
        <v>119</v>
      </c>
      <c r="E278" s="7" t="str">
        <f aca="false">IF(C278="","",IFERROR(INDEX(cl_Regiao,MATCH(C278,cl_Nome,0)),""))</f>
        <v>Sudeste</v>
      </c>
      <c r="F278" s="46" t="s">
        <v>110</v>
      </c>
      <c r="G278" s="46" t="s">
        <v>116</v>
      </c>
      <c r="H278" s="47" t="n">
        <v>21300</v>
      </c>
      <c r="I278" s="48" t="n">
        <f aca="false">IF(G278="","",IFERROR(INDEX(pr_Prob,MATCH(G278,pr_Etapa,0)),0))</f>
        <v>1</v>
      </c>
      <c r="J278" s="49" t="n">
        <f aca="false">IF(H278="","",H278*I278)</f>
        <v>21300</v>
      </c>
      <c r="K278" s="45"/>
      <c r="L278" s="45" t="n">
        <v>46235</v>
      </c>
      <c r="M278" s="50" t="str">
        <f aca="false">IF(G278="","",IF(G278="Fechado ganho","Ganha",IF(G278="Fechado perdido","Perdida","Aberta")))</f>
        <v>Ganha</v>
      </c>
      <c r="N278" s="51" t="n">
        <f aca="false">IF(B278="","",IF(M278="Aberta",DataRef-B278,IF(L278="","",L278-B278)))</f>
        <v>21</v>
      </c>
      <c r="O278" s="50" t="str">
        <f aca="false">IF(M278&lt;&gt;"Aberta","",IF(AND(K278&lt;&gt;"",K278&lt;DataRef),"Previsão vencida",IF(N278&gt;DiasParada,"Parada","")))</f>
        <v/>
      </c>
    </row>
    <row r="279" customFormat="false" ht="15" hidden="false" customHeight="false" outlineLevel="0" collapsed="false">
      <c r="A279" s="44" t="s">
        <v>429</v>
      </c>
      <c r="B279" s="45" t="n">
        <v>46215</v>
      </c>
      <c r="C279" s="46" t="s">
        <v>126</v>
      </c>
      <c r="D279" s="46" t="s">
        <v>127</v>
      </c>
      <c r="E279" s="7" t="str">
        <f aca="false">IF(C279="","",IFERROR(INDEX(cl_Regiao,MATCH(C279,cl_Nome,0)),""))</f>
        <v>Sul</v>
      </c>
      <c r="F279" s="46" t="s">
        <v>110</v>
      </c>
      <c r="G279" s="46" t="s">
        <v>124</v>
      </c>
      <c r="H279" s="47" t="n">
        <v>15300</v>
      </c>
      <c r="I279" s="48" t="n">
        <f aca="false">IF(G279="","",IFERROR(INDEX(pr_Prob,MATCH(G279,pr_Etapa,0)),0))</f>
        <v>0.5</v>
      </c>
      <c r="J279" s="49" t="n">
        <f aca="false">IF(H279="","",H279*I279)</f>
        <v>7650</v>
      </c>
      <c r="K279" s="45" t="n">
        <v>46310</v>
      </c>
      <c r="L279" s="45"/>
      <c r="M279" s="50" t="str">
        <f aca="false">IF(G279="","",IF(G279="Fechado ganho","Ganha",IF(G279="Fechado perdido","Perdida","Aberta")))</f>
        <v>Aberta</v>
      </c>
      <c r="N279" s="51" t="n">
        <f aca="false">IF(B279="","",IF(M279="Aberta",DataRef-B279,IF(L279="","",L279-B279)))</f>
        <v>93</v>
      </c>
      <c r="O279" s="50" t="str">
        <f aca="false">IF(M279&lt;&gt;"Aberta","",IF(AND(K279&lt;&gt;"",K279&lt;DataRef),"Previsão vencida",IF(N279&gt;DiasParada,"Parada","")))</f>
        <v>Parada</v>
      </c>
    </row>
    <row r="280" customFormat="false" ht="15" hidden="false" customHeight="false" outlineLevel="0" collapsed="false">
      <c r="A280" s="44" t="s">
        <v>430</v>
      </c>
      <c r="B280" s="45" t="n">
        <v>46216</v>
      </c>
      <c r="C280" s="46" t="s">
        <v>162</v>
      </c>
      <c r="D280" s="46" t="s">
        <v>131</v>
      </c>
      <c r="E280" s="7" t="str">
        <f aca="false">IF(C280="","",IFERROR(INDEX(cl_Regiao,MATCH(C280,cl_Nome,0)),""))</f>
        <v>Centro-Oeste</v>
      </c>
      <c r="F280" s="46" t="s">
        <v>128</v>
      </c>
      <c r="G280" s="46" t="s">
        <v>124</v>
      </c>
      <c r="H280" s="47" t="n">
        <v>12500</v>
      </c>
      <c r="I280" s="48" t="n">
        <f aca="false">IF(G280="","",IFERROR(INDEX(pr_Prob,MATCH(G280,pr_Etapa,0)),0))</f>
        <v>0.5</v>
      </c>
      <c r="J280" s="49" t="n">
        <f aca="false">IF(H280="","",H280*I280)</f>
        <v>6250</v>
      </c>
      <c r="K280" s="45" t="n">
        <v>46311</v>
      </c>
      <c r="L280" s="45"/>
      <c r="M280" s="50" t="str">
        <f aca="false">IF(G280="","",IF(G280="Fechado ganho","Ganha",IF(G280="Fechado perdido","Perdida","Aberta")))</f>
        <v>Aberta</v>
      </c>
      <c r="N280" s="51" t="n">
        <f aca="false">IF(B280="","",IF(M280="Aberta",DataRef-B280,IF(L280="","",L280-B280)))</f>
        <v>92</v>
      </c>
      <c r="O280" s="50" t="str">
        <f aca="false">IF(M280&lt;&gt;"Aberta","",IF(AND(K280&lt;&gt;"",K280&lt;DataRef),"Previsão vencida",IF(N280&gt;DiasParada,"Parada","")))</f>
        <v>Parada</v>
      </c>
    </row>
    <row r="281" customFormat="false" ht="15" hidden="false" customHeight="false" outlineLevel="0" collapsed="false">
      <c r="A281" s="44" t="s">
        <v>431</v>
      </c>
      <c r="B281" s="45" t="n">
        <v>46217</v>
      </c>
      <c r="C281" s="46" t="s">
        <v>182</v>
      </c>
      <c r="D281" s="46" t="s">
        <v>109</v>
      </c>
      <c r="E281" s="7" t="str">
        <f aca="false">IF(C281="","",IFERROR(INDEX(cl_Regiao,MATCH(C281,cl_Nome,0)),""))</f>
        <v>Sudeste</v>
      </c>
      <c r="F281" s="46" t="s">
        <v>122</v>
      </c>
      <c r="G281" s="46" t="s">
        <v>116</v>
      </c>
      <c r="H281" s="47" t="n">
        <v>14100</v>
      </c>
      <c r="I281" s="48" t="n">
        <f aca="false">IF(G281="","",IFERROR(INDEX(pr_Prob,MATCH(G281,pr_Etapa,0)),0))</f>
        <v>1</v>
      </c>
      <c r="J281" s="49" t="n">
        <f aca="false">IF(H281="","",H281*I281)</f>
        <v>14100</v>
      </c>
      <c r="K281" s="45"/>
      <c r="L281" s="45" t="n">
        <v>46235</v>
      </c>
      <c r="M281" s="50" t="str">
        <f aca="false">IF(G281="","",IF(G281="Fechado ganho","Ganha",IF(G281="Fechado perdido","Perdida","Aberta")))</f>
        <v>Ganha</v>
      </c>
      <c r="N281" s="51" t="n">
        <f aca="false">IF(B281="","",IF(M281="Aberta",DataRef-B281,IF(L281="","",L281-B281)))</f>
        <v>18</v>
      </c>
      <c r="O281" s="50" t="str">
        <f aca="false">IF(M281&lt;&gt;"Aberta","",IF(AND(K281&lt;&gt;"",K281&lt;DataRef),"Previsão vencida",IF(N281&gt;DiasParada,"Parada","")))</f>
        <v/>
      </c>
    </row>
    <row r="282" customFormat="false" ht="15" hidden="false" customHeight="false" outlineLevel="0" collapsed="false">
      <c r="A282" s="44" t="s">
        <v>432</v>
      </c>
      <c r="B282" s="45" t="n">
        <v>46218</v>
      </c>
      <c r="C282" s="46" t="s">
        <v>171</v>
      </c>
      <c r="D282" s="46" t="s">
        <v>165</v>
      </c>
      <c r="E282" s="7" t="str">
        <f aca="false">IF(C282="","",IFERROR(INDEX(cl_Regiao,MATCH(C282,cl_Nome,0)),""))</f>
        <v>Nordeste</v>
      </c>
      <c r="F282" s="46" t="s">
        <v>122</v>
      </c>
      <c r="G282" s="46" t="s">
        <v>111</v>
      </c>
      <c r="H282" s="47" t="n">
        <v>14500</v>
      </c>
      <c r="I282" s="48" t="n">
        <f aca="false">IF(G282="","",IFERROR(INDEX(pr_Prob,MATCH(G282,pr_Etapa,0)),0))</f>
        <v>0</v>
      </c>
      <c r="J282" s="49" t="n">
        <f aca="false">IF(H282="","",H282*I282)</f>
        <v>0</v>
      </c>
      <c r="K282" s="45"/>
      <c r="L282" s="45" t="n">
        <v>46275</v>
      </c>
      <c r="M282" s="50" t="str">
        <f aca="false">IF(G282="","",IF(G282="Fechado ganho","Ganha",IF(G282="Fechado perdido","Perdida","Aberta")))</f>
        <v>Perdida</v>
      </c>
      <c r="N282" s="51" t="n">
        <f aca="false">IF(B282="","",IF(M282="Aberta",DataRef-B282,IF(L282="","",L282-B282)))</f>
        <v>57</v>
      </c>
      <c r="O282" s="50" t="str">
        <f aca="false">IF(M282&lt;&gt;"Aberta","",IF(AND(K282&lt;&gt;"",K282&lt;DataRef),"Previsão vencida",IF(N282&gt;DiasParada,"Parada","")))</f>
        <v/>
      </c>
    </row>
    <row r="283" customFormat="false" ht="15" hidden="false" customHeight="false" outlineLevel="0" collapsed="false">
      <c r="A283" s="44" t="s">
        <v>433</v>
      </c>
      <c r="B283" s="45" t="n">
        <v>46218</v>
      </c>
      <c r="C283" s="46" t="s">
        <v>207</v>
      </c>
      <c r="D283" s="46" t="s">
        <v>165</v>
      </c>
      <c r="E283" s="7" t="str">
        <f aca="false">IF(C283="","",IFERROR(INDEX(cl_Regiao,MATCH(C283,cl_Nome,0)),""))</f>
        <v>Nordeste</v>
      </c>
      <c r="F283" s="46" t="s">
        <v>122</v>
      </c>
      <c r="G283" s="46" t="s">
        <v>368</v>
      </c>
      <c r="H283" s="47" t="n">
        <v>25200</v>
      </c>
      <c r="I283" s="48" t="n">
        <f aca="false">IF(G283="","",IFERROR(INDEX(pr_Prob,MATCH(G283,pr_Etapa,0)),0))</f>
        <v>0.75</v>
      </c>
      <c r="J283" s="49" t="n">
        <f aca="false">IF(H283="","",H283*I283)</f>
        <v>18900</v>
      </c>
      <c r="K283" s="45" t="n">
        <v>46305</v>
      </c>
      <c r="L283" s="45"/>
      <c r="M283" s="50" t="str">
        <f aca="false">IF(G283="","",IF(G283="Fechado ganho","Ganha",IF(G283="Fechado perdido","Perdida","Aberta")))</f>
        <v>Aberta</v>
      </c>
      <c r="N283" s="51" t="n">
        <f aca="false">IF(B283="","",IF(M283="Aberta",DataRef-B283,IF(L283="","",L283-B283)))</f>
        <v>90</v>
      </c>
      <c r="O283" s="50" t="str">
        <f aca="false">IF(M283&lt;&gt;"Aberta","",IF(AND(K283&lt;&gt;"",K283&lt;DataRef),"Previsão vencida",IF(N283&gt;DiasParada,"Parada","")))</f>
        <v>Previsão vencida</v>
      </c>
    </row>
    <row r="284" customFormat="false" ht="15" hidden="false" customHeight="false" outlineLevel="0" collapsed="false">
      <c r="A284" s="44" t="s">
        <v>434</v>
      </c>
      <c r="B284" s="45" t="n">
        <v>46225</v>
      </c>
      <c r="C284" s="46" t="s">
        <v>182</v>
      </c>
      <c r="D284" s="46" t="s">
        <v>109</v>
      </c>
      <c r="E284" s="7" t="str">
        <f aca="false">IF(C284="","",IFERROR(INDEX(cl_Regiao,MATCH(C284,cl_Nome,0)),""))</f>
        <v>Sudeste</v>
      </c>
      <c r="F284" s="46" t="s">
        <v>115</v>
      </c>
      <c r="G284" s="46" t="s">
        <v>224</v>
      </c>
      <c r="H284" s="47" t="n">
        <v>26700</v>
      </c>
      <c r="I284" s="48" t="n">
        <f aca="false">IF(G284="","",IFERROR(INDEX(pr_Prob,MATCH(G284,pr_Etapa,0)),0))</f>
        <v>0.25</v>
      </c>
      <c r="J284" s="49" t="n">
        <f aca="false">IF(H284="","",H284*I284)</f>
        <v>6675</v>
      </c>
      <c r="K284" s="45" t="n">
        <v>46311</v>
      </c>
      <c r="L284" s="45"/>
      <c r="M284" s="50" t="str">
        <f aca="false">IF(G284="","",IF(G284="Fechado ganho","Ganha",IF(G284="Fechado perdido","Perdida","Aberta")))</f>
        <v>Aberta</v>
      </c>
      <c r="N284" s="51" t="n">
        <f aca="false">IF(B284="","",IF(M284="Aberta",DataRef-B284,IF(L284="","",L284-B284)))</f>
        <v>83</v>
      </c>
      <c r="O284" s="50" t="str">
        <f aca="false">IF(M284&lt;&gt;"Aberta","",IF(AND(K284&lt;&gt;"",K284&lt;DataRef),"Previsão vencida",IF(N284&gt;DiasParada,"Parada","")))</f>
        <v>Parada</v>
      </c>
    </row>
    <row r="285" customFormat="false" ht="15" hidden="false" customHeight="false" outlineLevel="0" collapsed="false">
      <c r="A285" s="44" t="s">
        <v>435</v>
      </c>
      <c r="B285" s="45" t="n">
        <v>46225</v>
      </c>
      <c r="C285" s="46" t="s">
        <v>121</v>
      </c>
      <c r="D285" s="46" t="s">
        <v>119</v>
      </c>
      <c r="E285" s="7" t="str">
        <f aca="false">IF(C285="","",IFERROR(INDEX(cl_Regiao,MATCH(C285,cl_Nome,0)),""))</f>
        <v>Sudeste</v>
      </c>
      <c r="F285" s="46" t="s">
        <v>122</v>
      </c>
      <c r="G285" s="46" t="s">
        <v>124</v>
      </c>
      <c r="H285" s="47" t="n">
        <v>35600</v>
      </c>
      <c r="I285" s="48" t="n">
        <f aca="false">IF(G285="","",IFERROR(INDEX(pr_Prob,MATCH(G285,pr_Etapa,0)),0))</f>
        <v>0.5</v>
      </c>
      <c r="J285" s="49" t="n">
        <f aca="false">IF(H285="","",H285*I285)</f>
        <v>17800</v>
      </c>
      <c r="K285" s="45" t="n">
        <v>46279</v>
      </c>
      <c r="L285" s="45"/>
      <c r="M285" s="50" t="str">
        <f aca="false">IF(G285="","",IF(G285="Fechado ganho","Ganha",IF(G285="Fechado perdido","Perdida","Aberta")))</f>
        <v>Aberta</v>
      </c>
      <c r="N285" s="51" t="n">
        <f aca="false">IF(B285="","",IF(M285="Aberta",DataRef-B285,IF(L285="","",L285-B285)))</f>
        <v>83</v>
      </c>
      <c r="O285" s="50" t="str">
        <f aca="false">IF(M285&lt;&gt;"Aberta","",IF(AND(K285&lt;&gt;"",K285&lt;DataRef),"Previsão vencida",IF(N285&gt;DiasParada,"Parada","")))</f>
        <v>Previsão vencida</v>
      </c>
    </row>
    <row r="286" customFormat="false" ht="15" hidden="false" customHeight="false" outlineLevel="0" collapsed="false">
      <c r="A286" s="44" t="s">
        <v>436</v>
      </c>
      <c r="B286" s="45" t="n">
        <v>46225</v>
      </c>
      <c r="C286" s="46" t="s">
        <v>121</v>
      </c>
      <c r="D286" s="46" t="s">
        <v>119</v>
      </c>
      <c r="E286" s="7" t="str">
        <f aca="false">IF(C286="","",IFERROR(INDEX(cl_Regiao,MATCH(C286,cl_Nome,0)),""))</f>
        <v>Sudeste</v>
      </c>
      <c r="F286" s="46" t="s">
        <v>110</v>
      </c>
      <c r="G286" s="46" t="s">
        <v>124</v>
      </c>
      <c r="H286" s="47" t="n">
        <v>9400</v>
      </c>
      <c r="I286" s="48" t="n">
        <f aca="false">IF(G286="","",IFERROR(INDEX(pr_Prob,MATCH(G286,pr_Etapa,0)),0))</f>
        <v>0.5</v>
      </c>
      <c r="J286" s="49" t="n">
        <f aca="false">IF(H286="","",H286*I286)</f>
        <v>4700</v>
      </c>
      <c r="K286" s="45" t="n">
        <v>46327</v>
      </c>
      <c r="L286" s="45"/>
      <c r="M286" s="50" t="str">
        <f aca="false">IF(G286="","",IF(G286="Fechado ganho","Ganha",IF(G286="Fechado perdido","Perdida","Aberta")))</f>
        <v>Aberta</v>
      </c>
      <c r="N286" s="51" t="n">
        <f aca="false">IF(B286="","",IF(M286="Aberta",DataRef-B286,IF(L286="","",L286-B286)))</f>
        <v>83</v>
      </c>
      <c r="O286" s="50" t="str">
        <f aca="false">IF(M286&lt;&gt;"Aberta","",IF(AND(K286&lt;&gt;"",K286&lt;DataRef),"Previsão vencida",IF(N286&gt;DiasParada,"Parada","")))</f>
        <v>Parada</v>
      </c>
    </row>
    <row r="287" customFormat="false" ht="15" hidden="false" customHeight="false" outlineLevel="0" collapsed="false">
      <c r="A287" s="44" t="s">
        <v>437</v>
      </c>
      <c r="B287" s="45" t="n">
        <v>46231</v>
      </c>
      <c r="C287" s="46" t="s">
        <v>171</v>
      </c>
      <c r="D287" s="46" t="s">
        <v>165</v>
      </c>
      <c r="E287" s="7" t="str">
        <f aca="false">IF(C287="","",IFERROR(INDEX(cl_Regiao,MATCH(C287,cl_Nome,0)),""))</f>
        <v>Nordeste</v>
      </c>
      <c r="F287" s="46" t="s">
        <v>115</v>
      </c>
      <c r="G287" s="46" t="s">
        <v>116</v>
      </c>
      <c r="H287" s="47" t="n">
        <v>47700</v>
      </c>
      <c r="I287" s="48" t="n">
        <f aca="false">IF(G287="","",IFERROR(INDEX(pr_Prob,MATCH(G287,pr_Etapa,0)),0))</f>
        <v>1</v>
      </c>
      <c r="J287" s="49" t="n">
        <f aca="false">IF(H287="","",H287*I287)</f>
        <v>47700</v>
      </c>
      <c r="K287" s="45"/>
      <c r="L287" s="45" t="n">
        <v>46251</v>
      </c>
      <c r="M287" s="50" t="str">
        <f aca="false">IF(G287="","",IF(G287="Fechado ganho","Ganha",IF(G287="Fechado perdido","Perdida","Aberta")))</f>
        <v>Ganha</v>
      </c>
      <c r="N287" s="51" t="n">
        <f aca="false">IF(B287="","",IF(M287="Aberta",DataRef-B287,IF(L287="","",L287-B287)))</f>
        <v>20</v>
      </c>
      <c r="O287" s="50" t="str">
        <f aca="false">IF(M287&lt;&gt;"Aberta","",IF(AND(K287&lt;&gt;"",K287&lt;DataRef),"Previsão vencida",IF(N287&gt;DiasParada,"Parada","")))</f>
        <v/>
      </c>
    </row>
    <row r="288" customFormat="false" ht="15" hidden="false" customHeight="false" outlineLevel="0" collapsed="false">
      <c r="A288" s="44" t="s">
        <v>438</v>
      </c>
      <c r="B288" s="45" t="n">
        <v>46233</v>
      </c>
      <c r="C288" s="46" t="s">
        <v>175</v>
      </c>
      <c r="D288" s="46" t="s">
        <v>114</v>
      </c>
      <c r="E288" s="7" t="str">
        <f aca="false">IF(C288="","",IFERROR(INDEX(cl_Regiao,MATCH(C288,cl_Nome,0)),""))</f>
        <v>Norte</v>
      </c>
      <c r="F288" s="46" t="s">
        <v>115</v>
      </c>
      <c r="G288" s="46" t="s">
        <v>116</v>
      </c>
      <c r="H288" s="47" t="n">
        <v>71200</v>
      </c>
      <c r="I288" s="48" t="n">
        <f aca="false">IF(G288="","",IFERROR(INDEX(pr_Prob,MATCH(G288,pr_Etapa,0)),0))</f>
        <v>1</v>
      </c>
      <c r="J288" s="49" t="n">
        <f aca="false">IF(H288="","",H288*I288)</f>
        <v>71200</v>
      </c>
      <c r="K288" s="45"/>
      <c r="L288" s="45" t="n">
        <v>46262</v>
      </c>
      <c r="M288" s="50" t="str">
        <f aca="false">IF(G288="","",IF(G288="Fechado ganho","Ganha",IF(G288="Fechado perdido","Perdida","Aberta")))</f>
        <v>Ganha</v>
      </c>
      <c r="N288" s="51" t="n">
        <f aca="false">IF(B288="","",IF(M288="Aberta",DataRef-B288,IF(L288="","",L288-B288)))</f>
        <v>29</v>
      </c>
      <c r="O288" s="50" t="str">
        <f aca="false">IF(M288&lt;&gt;"Aberta","",IF(AND(K288&lt;&gt;"",K288&lt;DataRef),"Previsão vencida",IF(N288&gt;DiasParada,"Parada","")))</f>
        <v/>
      </c>
    </row>
    <row r="289" customFormat="false" ht="15" hidden="false" customHeight="false" outlineLevel="0" collapsed="false">
      <c r="A289" s="44" t="s">
        <v>439</v>
      </c>
      <c r="B289" s="45" t="n">
        <v>46235</v>
      </c>
      <c r="C289" s="46" t="s">
        <v>162</v>
      </c>
      <c r="D289" s="46" t="s">
        <v>131</v>
      </c>
      <c r="E289" s="7" t="str">
        <f aca="false">IF(C289="","",IFERROR(INDEX(cl_Regiao,MATCH(C289,cl_Nome,0)),""))</f>
        <v>Centro-Oeste</v>
      </c>
      <c r="F289" s="46" t="s">
        <v>110</v>
      </c>
      <c r="G289" s="46" t="s">
        <v>368</v>
      </c>
      <c r="H289" s="47" t="n">
        <v>11000</v>
      </c>
      <c r="I289" s="48" t="n">
        <f aca="false">IF(G289="","",IFERROR(INDEX(pr_Prob,MATCH(G289,pr_Etapa,0)),0))</f>
        <v>0.75</v>
      </c>
      <c r="J289" s="49" t="n">
        <f aca="false">IF(H289="","",H289*I289)</f>
        <v>8250</v>
      </c>
      <c r="K289" s="45" t="n">
        <v>46317</v>
      </c>
      <c r="L289" s="45"/>
      <c r="M289" s="50" t="str">
        <f aca="false">IF(G289="","",IF(G289="Fechado ganho","Ganha",IF(G289="Fechado perdido","Perdida","Aberta")))</f>
        <v>Aberta</v>
      </c>
      <c r="N289" s="51" t="n">
        <f aca="false">IF(B289="","",IF(M289="Aberta",DataRef-B289,IF(L289="","",L289-B289)))</f>
        <v>73</v>
      </c>
      <c r="O289" s="50" t="str">
        <f aca="false">IF(M289&lt;&gt;"Aberta","",IF(AND(K289&lt;&gt;"",K289&lt;DataRef),"Previsão vencida",IF(N289&gt;DiasParada,"Parada","")))</f>
        <v>Parada</v>
      </c>
    </row>
    <row r="290" customFormat="false" ht="15" hidden="false" customHeight="false" outlineLevel="0" collapsed="false">
      <c r="A290" s="44" t="s">
        <v>440</v>
      </c>
      <c r="B290" s="45" t="n">
        <v>46235</v>
      </c>
      <c r="C290" s="46" t="s">
        <v>155</v>
      </c>
      <c r="D290" s="46" t="s">
        <v>127</v>
      </c>
      <c r="E290" s="7" t="str">
        <f aca="false">IF(C290="","",IFERROR(INDEX(cl_Regiao,MATCH(C290,cl_Nome,0)),""))</f>
        <v>Sul</v>
      </c>
      <c r="F290" s="46" t="s">
        <v>122</v>
      </c>
      <c r="G290" s="46" t="s">
        <v>124</v>
      </c>
      <c r="H290" s="47" t="n">
        <v>11700</v>
      </c>
      <c r="I290" s="48" t="n">
        <f aca="false">IF(G290="","",IFERROR(INDEX(pr_Prob,MATCH(G290,pr_Etapa,0)),0))</f>
        <v>0.5</v>
      </c>
      <c r="J290" s="49" t="n">
        <f aca="false">IF(H290="","",H290*I290)</f>
        <v>5850</v>
      </c>
      <c r="K290" s="45" t="n">
        <v>46309</v>
      </c>
      <c r="L290" s="45"/>
      <c r="M290" s="50" t="str">
        <f aca="false">IF(G290="","",IF(G290="Fechado ganho","Ganha",IF(G290="Fechado perdido","Perdida","Aberta")))</f>
        <v>Aberta</v>
      </c>
      <c r="N290" s="51" t="n">
        <f aca="false">IF(B290="","",IF(M290="Aberta",DataRef-B290,IF(L290="","",L290-B290)))</f>
        <v>73</v>
      </c>
      <c r="O290" s="50" t="str">
        <f aca="false">IF(M290&lt;&gt;"Aberta","",IF(AND(K290&lt;&gt;"",K290&lt;DataRef),"Previsão vencida",IF(N290&gt;DiasParada,"Parada","")))</f>
        <v>Parada</v>
      </c>
    </row>
    <row r="291" customFormat="false" ht="15" hidden="false" customHeight="false" outlineLevel="0" collapsed="false">
      <c r="A291" s="44" t="s">
        <v>441</v>
      </c>
      <c r="B291" s="45" t="n">
        <v>46236</v>
      </c>
      <c r="C291" s="46" t="s">
        <v>153</v>
      </c>
      <c r="D291" s="46" t="s">
        <v>131</v>
      </c>
      <c r="E291" s="7" t="str">
        <f aca="false">IF(C291="","",IFERROR(INDEX(cl_Regiao,MATCH(C291,cl_Nome,0)),""))</f>
        <v>Centro-Oeste</v>
      </c>
      <c r="F291" s="46" t="s">
        <v>122</v>
      </c>
      <c r="G291" s="46" t="s">
        <v>116</v>
      </c>
      <c r="H291" s="47" t="n">
        <v>2400</v>
      </c>
      <c r="I291" s="48" t="n">
        <f aca="false">IF(G291="","",IFERROR(INDEX(pr_Prob,MATCH(G291,pr_Etapa,0)),0))</f>
        <v>1</v>
      </c>
      <c r="J291" s="49" t="n">
        <f aca="false">IF(H291="","",H291*I291)</f>
        <v>2400</v>
      </c>
      <c r="K291" s="45"/>
      <c r="L291" s="45" t="n">
        <v>46271</v>
      </c>
      <c r="M291" s="50" t="str">
        <f aca="false">IF(G291="","",IF(G291="Fechado ganho","Ganha",IF(G291="Fechado perdido","Perdida","Aberta")))</f>
        <v>Ganha</v>
      </c>
      <c r="N291" s="51" t="n">
        <f aca="false">IF(B291="","",IF(M291="Aberta",DataRef-B291,IF(L291="","",L291-B291)))</f>
        <v>35</v>
      </c>
      <c r="O291" s="50" t="str">
        <f aca="false">IF(M291&lt;&gt;"Aberta","",IF(AND(K291&lt;&gt;"",K291&lt;DataRef),"Previsão vencida",IF(N291&gt;DiasParada,"Parada","")))</f>
        <v/>
      </c>
    </row>
    <row r="292" customFormat="false" ht="15" hidden="false" customHeight="false" outlineLevel="0" collapsed="false">
      <c r="A292" s="44" t="s">
        <v>442</v>
      </c>
      <c r="B292" s="45" t="n">
        <v>46237</v>
      </c>
      <c r="C292" s="46" t="s">
        <v>148</v>
      </c>
      <c r="D292" s="46" t="s">
        <v>109</v>
      </c>
      <c r="E292" s="7" t="str">
        <f aca="false">IF(C292="","",IFERROR(INDEX(cl_Regiao,MATCH(C292,cl_Nome,0)),""))</f>
        <v>Sudeste</v>
      </c>
      <c r="F292" s="46" t="s">
        <v>115</v>
      </c>
      <c r="G292" s="46" t="s">
        <v>116</v>
      </c>
      <c r="H292" s="47" t="n">
        <v>23800</v>
      </c>
      <c r="I292" s="48" t="n">
        <f aca="false">IF(G292="","",IFERROR(INDEX(pr_Prob,MATCH(G292,pr_Etapa,0)),0))</f>
        <v>1</v>
      </c>
      <c r="J292" s="49" t="n">
        <f aca="false">IF(H292="","",H292*I292)</f>
        <v>23800</v>
      </c>
      <c r="K292" s="45"/>
      <c r="L292" s="45" t="n">
        <v>46300</v>
      </c>
      <c r="M292" s="50" t="str">
        <f aca="false">IF(G292="","",IF(G292="Fechado ganho","Ganha",IF(G292="Fechado perdido","Perdida","Aberta")))</f>
        <v>Ganha</v>
      </c>
      <c r="N292" s="51" t="n">
        <f aca="false">IF(B292="","",IF(M292="Aberta",DataRef-B292,IF(L292="","",L292-B292)))</f>
        <v>63</v>
      </c>
      <c r="O292" s="50" t="str">
        <f aca="false">IF(M292&lt;&gt;"Aberta","",IF(AND(K292&lt;&gt;"",K292&lt;DataRef),"Previsão vencida",IF(N292&gt;DiasParada,"Parada","")))</f>
        <v/>
      </c>
    </row>
    <row r="293" customFormat="false" ht="15" hidden="false" customHeight="false" outlineLevel="0" collapsed="false">
      <c r="A293" s="44" t="s">
        <v>443</v>
      </c>
      <c r="B293" s="45" t="n">
        <v>46238</v>
      </c>
      <c r="C293" s="46" t="s">
        <v>148</v>
      </c>
      <c r="D293" s="46" t="s">
        <v>109</v>
      </c>
      <c r="E293" s="7" t="str">
        <f aca="false">IF(C293="","",IFERROR(INDEX(cl_Regiao,MATCH(C293,cl_Nome,0)),""))</f>
        <v>Sudeste</v>
      </c>
      <c r="F293" s="46" t="s">
        <v>128</v>
      </c>
      <c r="G293" s="46" t="s">
        <v>111</v>
      </c>
      <c r="H293" s="47" t="n">
        <v>36300</v>
      </c>
      <c r="I293" s="48" t="n">
        <f aca="false">IF(G293="","",IFERROR(INDEX(pr_Prob,MATCH(G293,pr_Etapa,0)),0))</f>
        <v>0</v>
      </c>
      <c r="J293" s="49" t="n">
        <f aca="false">IF(H293="","",H293*I293)</f>
        <v>0</v>
      </c>
      <c r="K293" s="45"/>
      <c r="L293" s="45" t="n">
        <v>46296</v>
      </c>
      <c r="M293" s="50" t="str">
        <f aca="false">IF(G293="","",IF(G293="Fechado ganho","Ganha",IF(G293="Fechado perdido","Perdida","Aberta")))</f>
        <v>Perdida</v>
      </c>
      <c r="N293" s="51" t="n">
        <f aca="false">IF(B293="","",IF(M293="Aberta",DataRef-B293,IF(L293="","",L293-B293)))</f>
        <v>58</v>
      </c>
      <c r="O293" s="50" t="str">
        <f aca="false">IF(M293&lt;&gt;"Aberta","",IF(AND(K293&lt;&gt;"",K293&lt;DataRef),"Previsão vencida",IF(N293&gt;DiasParada,"Parada","")))</f>
        <v/>
      </c>
    </row>
    <row r="294" customFormat="false" ht="15" hidden="false" customHeight="false" outlineLevel="0" collapsed="false">
      <c r="A294" s="44" t="s">
        <v>444</v>
      </c>
      <c r="B294" s="45" t="n">
        <v>46238</v>
      </c>
      <c r="C294" s="46" t="s">
        <v>180</v>
      </c>
      <c r="D294" s="46" t="s">
        <v>127</v>
      </c>
      <c r="E294" s="7" t="str">
        <f aca="false">IF(C294="","",IFERROR(INDEX(cl_Regiao,MATCH(C294,cl_Nome,0)),""))</f>
        <v>Sul</v>
      </c>
      <c r="F294" s="46" t="s">
        <v>110</v>
      </c>
      <c r="G294" s="46" t="s">
        <v>111</v>
      </c>
      <c r="H294" s="47" t="n">
        <v>20000</v>
      </c>
      <c r="I294" s="48" t="n">
        <f aca="false">IF(G294="","",IFERROR(INDEX(pr_Prob,MATCH(G294,pr_Etapa,0)),0))</f>
        <v>0</v>
      </c>
      <c r="J294" s="49" t="n">
        <f aca="false">IF(H294="","",H294*I294)</f>
        <v>0</v>
      </c>
      <c r="K294" s="45"/>
      <c r="L294" s="45" t="n">
        <v>46303</v>
      </c>
      <c r="M294" s="50" t="str">
        <f aca="false">IF(G294="","",IF(G294="Fechado ganho","Ganha",IF(G294="Fechado perdido","Perdida","Aberta")))</f>
        <v>Perdida</v>
      </c>
      <c r="N294" s="51" t="n">
        <f aca="false">IF(B294="","",IF(M294="Aberta",DataRef-B294,IF(L294="","",L294-B294)))</f>
        <v>65</v>
      </c>
      <c r="O294" s="50" t="str">
        <f aca="false">IF(M294&lt;&gt;"Aberta","",IF(AND(K294&lt;&gt;"",K294&lt;DataRef),"Previsão vencida",IF(N294&gt;DiasParada,"Parada","")))</f>
        <v/>
      </c>
    </row>
    <row r="295" customFormat="false" ht="15" hidden="false" customHeight="false" outlineLevel="0" collapsed="false">
      <c r="A295" s="44" t="s">
        <v>445</v>
      </c>
      <c r="B295" s="45" t="n">
        <v>46240</v>
      </c>
      <c r="C295" s="46" t="s">
        <v>162</v>
      </c>
      <c r="D295" s="46" t="s">
        <v>131</v>
      </c>
      <c r="E295" s="7" t="str">
        <f aca="false">IF(C295="","",IFERROR(INDEX(cl_Regiao,MATCH(C295,cl_Nome,0)),""))</f>
        <v>Centro-Oeste</v>
      </c>
      <c r="F295" s="46" t="s">
        <v>122</v>
      </c>
      <c r="G295" s="46" t="s">
        <v>111</v>
      </c>
      <c r="H295" s="47" t="n">
        <v>9700</v>
      </c>
      <c r="I295" s="48" t="n">
        <f aca="false">IF(G295="","",IFERROR(INDEX(pr_Prob,MATCH(G295,pr_Etapa,0)),0))</f>
        <v>0</v>
      </c>
      <c r="J295" s="49" t="n">
        <f aca="false">IF(H295="","",H295*I295)</f>
        <v>0</v>
      </c>
      <c r="K295" s="45"/>
      <c r="L295" s="45" t="n">
        <v>46278</v>
      </c>
      <c r="M295" s="50" t="str">
        <f aca="false">IF(G295="","",IF(G295="Fechado ganho","Ganha",IF(G295="Fechado perdido","Perdida","Aberta")))</f>
        <v>Perdida</v>
      </c>
      <c r="N295" s="51" t="n">
        <f aca="false">IF(B295="","",IF(M295="Aberta",DataRef-B295,IF(L295="","",L295-B295)))</f>
        <v>38</v>
      </c>
      <c r="O295" s="50" t="str">
        <f aca="false">IF(M295&lt;&gt;"Aberta","",IF(AND(K295&lt;&gt;"",K295&lt;DataRef),"Previsão vencida",IF(N295&gt;DiasParada,"Parada","")))</f>
        <v/>
      </c>
    </row>
    <row r="296" customFormat="false" ht="15" hidden="false" customHeight="false" outlineLevel="0" collapsed="false">
      <c r="A296" s="44" t="s">
        <v>446</v>
      </c>
      <c r="B296" s="45" t="n">
        <v>46243</v>
      </c>
      <c r="C296" s="46" t="s">
        <v>113</v>
      </c>
      <c r="D296" s="46" t="s">
        <v>114</v>
      </c>
      <c r="E296" s="7" t="str">
        <f aca="false">IF(C296="","",IFERROR(INDEX(cl_Regiao,MATCH(C296,cl_Nome,0)),""))</f>
        <v>Norte</v>
      </c>
      <c r="F296" s="46" t="s">
        <v>115</v>
      </c>
      <c r="G296" s="46" t="s">
        <v>116</v>
      </c>
      <c r="H296" s="47" t="n">
        <v>39200</v>
      </c>
      <c r="I296" s="48" t="n">
        <f aca="false">IF(G296="","",IFERROR(INDEX(pr_Prob,MATCH(G296,pr_Etapa,0)),0))</f>
        <v>1</v>
      </c>
      <c r="J296" s="49" t="n">
        <f aca="false">IF(H296="","",H296*I296)</f>
        <v>39200</v>
      </c>
      <c r="K296" s="45"/>
      <c r="L296" s="45" t="n">
        <v>46268</v>
      </c>
      <c r="M296" s="50" t="str">
        <f aca="false">IF(G296="","",IF(G296="Fechado ganho","Ganha",IF(G296="Fechado perdido","Perdida","Aberta")))</f>
        <v>Ganha</v>
      </c>
      <c r="N296" s="51" t="n">
        <f aca="false">IF(B296="","",IF(M296="Aberta",DataRef-B296,IF(L296="","",L296-B296)))</f>
        <v>25</v>
      </c>
      <c r="O296" s="50" t="str">
        <f aca="false">IF(M296&lt;&gt;"Aberta","",IF(AND(K296&lt;&gt;"",K296&lt;DataRef),"Previsão vencida",IF(N296&gt;DiasParada,"Parada","")))</f>
        <v/>
      </c>
    </row>
    <row r="297" customFormat="false" ht="15" hidden="false" customHeight="false" outlineLevel="0" collapsed="false">
      <c r="A297" s="44" t="s">
        <v>447</v>
      </c>
      <c r="B297" s="45" t="n">
        <v>46244</v>
      </c>
      <c r="C297" s="46" t="s">
        <v>121</v>
      </c>
      <c r="D297" s="46" t="s">
        <v>119</v>
      </c>
      <c r="E297" s="7" t="str">
        <f aca="false">IF(C297="","",IFERROR(INDEX(cl_Regiao,MATCH(C297,cl_Nome,0)),""))</f>
        <v>Sudeste</v>
      </c>
      <c r="F297" s="46" t="s">
        <v>110</v>
      </c>
      <c r="G297" s="46" t="s">
        <v>116</v>
      </c>
      <c r="H297" s="47" t="n">
        <v>28800</v>
      </c>
      <c r="I297" s="48" t="n">
        <f aca="false">IF(G297="","",IFERROR(INDEX(pr_Prob,MATCH(G297,pr_Etapa,0)),0))</f>
        <v>1</v>
      </c>
      <c r="J297" s="49" t="n">
        <f aca="false">IF(H297="","",H297*I297)</f>
        <v>28800</v>
      </c>
      <c r="K297" s="45"/>
      <c r="L297" s="45" t="n">
        <v>46303</v>
      </c>
      <c r="M297" s="50" t="str">
        <f aca="false">IF(G297="","",IF(G297="Fechado ganho","Ganha",IF(G297="Fechado perdido","Perdida","Aberta")))</f>
        <v>Ganha</v>
      </c>
      <c r="N297" s="51" t="n">
        <f aca="false">IF(B297="","",IF(M297="Aberta",DataRef-B297,IF(L297="","",L297-B297)))</f>
        <v>59</v>
      </c>
      <c r="O297" s="50" t="str">
        <f aca="false">IF(M297&lt;&gt;"Aberta","",IF(AND(K297&lt;&gt;"",K297&lt;DataRef),"Previsão vencida",IF(N297&gt;DiasParada,"Parada","")))</f>
        <v/>
      </c>
    </row>
    <row r="298" customFormat="false" ht="15" hidden="false" customHeight="false" outlineLevel="0" collapsed="false">
      <c r="A298" s="44" t="s">
        <v>448</v>
      </c>
      <c r="B298" s="45" t="n">
        <v>46245</v>
      </c>
      <c r="C298" s="46" t="s">
        <v>148</v>
      </c>
      <c r="D298" s="46" t="s">
        <v>109</v>
      </c>
      <c r="E298" s="7" t="str">
        <f aca="false">IF(C298="","",IFERROR(INDEX(cl_Regiao,MATCH(C298,cl_Nome,0)),""))</f>
        <v>Sudeste</v>
      </c>
      <c r="F298" s="46" t="s">
        <v>122</v>
      </c>
      <c r="G298" s="46" t="s">
        <v>224</v>
      </c>
      <c r="H298" s="47" t="n">
        <v>15900</v>
      </c>
      <c r="I298" s="48" t="n">
        <f aca="false">IF(G298="","",IFERROR(INDEX(pr_Prob,MATCH(G298,pr_Etapa,0)),0))</f>
        <v>0.25</v>
      </c>
      <c r="J298" s="49" t="n">
        <f aca="false">IF(H298="","",H298*I298)</f>
        <v>3975</v>
      </c>
      <c r="K298" s="45" t="n">
        <v>46329</v>
      </c>
      <c r="L298" s="45"/>
      <c r="M298" s="50" t="str">
        <f aca="false">IF(G298="","",IF(G298="Fechado ganho","Ganha",IF(G298="Fechado perdido","Perdida","Aberta")))</f>
        <v>Aberta</v>
      </c>
      <c r="N298" s="51" t="n">
        <f aca="false">IF(B298="","",IF(M298="Aberta",DataRef-B298,IF(L298="","",L298-B298)))</f>
        <v>63</v>
      </c>
      <c r="O298" s="50" t="str">
        <f aca="false">IF(M298&lt;&gt;"Aberta","",IF(AND(K298&lt;&gt;"",K298&lt;DataRef),"Previsão vencida",IF(N298&gt;DiasParada,"Parada","")))</f>
        <v>Parada</v>
      </c>
    </row>
    <row r="299" customFormat="false" ht="15" hidden="false" customHeight="false" outlineLevel="0" collapsed="false">
      <c r="A299" s="44" t="s">
        <v>449</v>
      </c>
      <c r="B299" s="45" t="n">
        <v>46246</v>
      </c>
      <c r="C299" s="46" t="s">
        <v>171</v>
      </c>
      <c r="D299" s="46" t="s">
        <v>165</v>
      </c>
      <c r="E299" s="7" t="str">
        <f aca="false">IF(C299="","",IFERROR(INDEX(cl_Regiao,MATCH(C299,cl_Nome,0)),""))</f>
        <v>Nordeste</v>
      </c>
      <c r="F299" s="46" t="s">
        <v>128</v>
      </c>
      <c r="G299" s="46" t="s">
        <v>116</v>
      </c>
      <c r="H299" s="47" t="n">
        <v>22900</v>
      </c>
      <c r="I299" s="48" t="n">
        <f aca="false">IF(G299="","",IFERROR(INDEX(pr_Prob,MATCH(G299,pr_Etapa,0)),0))</f>
        <v>1</v>
      </c>
      <c r="J299" s="49" t="n">
        <f aca="false">IF(H299="","",H299*I299)</f>
        <v>22900</v>
      </c>
      <c r="K299" s="45"/>
      <c r="L299" s="45" t="n">
        <v>46277</v>
      </c>
      <c r="M299" s="50" t="str">
        <f aca="false">IF(G299="","",IF(G299="Fechado ganho","Ganha",IF(G299="Fechado perdido","Perdida","Aberta")))</f>
        <v>Ganha</v>
      </c>
      <c r="N299" s="51" t="n">
        <f aca="false">IF(B299="","",IF(M299="Aberta",DataRef-B299,IF(L299="","",L299-B299)))</f>
        <v>31</v>
      </c>
      <c r="O299" s="50" t="str">
        <f aca="false">IF(M299&lt;&gt;"Aberta","",IF(AND(K299&lt;&gt;"",K299&lt;DataRef),"Previsão vencida",IF(N299&gt;DiasParada,"Parada","")))</f>
        <v/>
      </c>
    </row>
    <row r="300" customFormat="false" ht="15" hidden="false" customHeight="false" outlineLevel="0" collapsed="false">
      <c r="A300" s="44" t="s">
        <v>450</v>
      </c>
      <c r="B300" s="45" t="n">
        <v>46249</v>
      </c>
      <c r="C300" s="46" t="s">
        <v>171</v>
      </c>
      <c r="D300" s="46" t="s">
        <v>165</v>
      </c>
      <c r="E300" s="7" t="str">
        <f aca="false">IF(C300="","",IFERROR(INDEX(cl_Regiao,MATCH(C300,cl_Nome,0)),""))</f>
        <v>Nordeste</v>
      </c>
      <c r="F300" s="46" t="s">
        <v>122</v>
      </c>
      <c r="G300" s="46" t="s">
        <v>361</v>
      </c>
      <c r="H300" s="47" t="n">
        <v>3500</v>
      </c>
      <c r="I300" s="48" t="n">
        <f aca="false">IF(G300="","",IFERROR(INDEX(pr_Prob,MATCH(G300,pr_Etapa,0)),0))</f>
        <v>0.1</v>
      </c>
      <c r="J300" s="49" t="n">
        <f aca="false">IF(H300="","",H300*I300)</f>
        <v>350</v>
      </c>
      <c r="K300" s="45" t="n">
        <v>46291</v>
      </c>
      <c r="L300" s="45"/>
      <c r="M300" s="50" t="str">
        <f aca="false">IF(G300="","",IF(G300="Fechado ganho","Ganha",IF(G300="Fechado perdido","Perdida","Aberta")))</f>
        <v>Aberta</v>
      </c>
      <c r="N300" s="51" t="n">
        <f aca="false">IF(B300="","",IF(M300="Aberta",DataRef-B300,IF(L300="","",L300-B300)))</f>
        <v>59</v>
      </c>
      <c r="O300" s="50" t="str">
        <f aca="false">IF(M300&lt;&gt;"Aberta","",IF(AND(K300&lt;&gt;"",K300&lt;DataRef),"Previsão vencida",IF(N300&gt;DiasParada,"Parada","")))</f>
        <v>Previsão vencida</v>
      </c>
    </row>
    <row r="301" customFormat="false" ht="15" hidden="false" customHeight="false" outlineLevel="0" collapsed="false">
      <c r="A301" s="44" t="s">
        <v>451</v>
      </c>
      <c r="B301" s="45" t="n">
        <v>46249</v>
      </c>
      <c r="C301" s="46" t="s">
        <v>236</v>
      </c>
      <c r="D301" s="46" t="s">
        <v>165</v>
      </c>
      <c r="E301" s="7" t="str">
        <f aca="false">IF(C301="","",IFERROR(INDEX(cl_Regiao,MATCH(C301,cl_Nome,0)),""))</f>
        <v>Nordeste</v>
      </c>
      <c r="F301" s="46" t="s">
        <v>128</v>
      </c>
      <c r="G301" s="46" t="s">
        <v>124</v>
      </c>
      <c r="H301" s="47" t="n">
        <v>25900</v>
      </c>
      <c r="I301" s="48" t="n">
        <f aca="false">IF(G301="","",IFERROR(INDEX(pr_Prob,MATCH(G301,pr_Etapa,0)),0))</f>
        <v>0.5</v>
      </c>
      <c r="J301" s="49" t="n">
        <f aca="false">IF(H301="","",H301*I301)</f>
        <v>12950</v>
      </c>
      <c r="K301" s="45" t="n">
        <v>46327</v>
      </c>
      <c r="L301" s="45"/>
      <c r="M301" s="50" t="str">
        <f aca="false">IF(G301="","",IF(G301="Fechado ganho","Ganha",IF(G301="Fechado perdido","Perdida","Aberta")))</f>
        <v>Aberta</v>
      </c>
      <c r="N301" s="51" t="n">
        <f aca="false">IF(B301="","",IF(M301="Aberta",DataRef-B301,IF(L301="","",L301-B301)))</f>
        <v>59</v>
      </c>
      <c r="O301" s="50" t="str">
        <f aca="false">IF(M301&lt;&gt;"Aberta","",IF(AND(K301&lt;&gt;"",K301&lt;DataRef),"Previsão vencida",IF(N301&gt;DiasParada,"Parada","")))</f>
        <v>Parada</v>
      </c>
    </row>
    <row r="302" customFormat="false" ht="15" hidden="false" customHeight="false" outlineLevel="0" collapsed="false">
      <c r="A302" s="44" t="s">
        <v>452</v>
      </c>
      <c r="B302" s="45" t="n">
        <v>46250</v>
      </c>
      <c r="C302" s="46" t="s">
        <v>153</v>
      </c>
      <c r="D302" s="46" t="s">
        <v>131</v>
      </c>
      <c r="E302" s="7" t="str">
        <f aca="false">IF(C302="","",IFERROR(INDEX(cl_Regiao,MATCH(C302,cl_Nome,0)),""))</f>
        <v>Centro-Oeste</v>
      </c>
      <c r="F302" s="46" t="s">
        <v>115</v>
      </c>
      <c r="G302" s="46" t="s">
        <v>111</v>
      </c>
      <c r="H302" s="47" t="n">
        <v>26800</v>
      </c>
      <c r="I302" s="48" t="n">
        <f aca="false">IF(G302="","",IFERROR(INDEX(pr_Prob,MATCH(G302,pr_Etapa,0)),0))</f>
        <v>0</v>
      </c>
      <c r="J302" s="49" t="n">
        <f aca="false">IF(H302="","",H302*I302)</f>
        <v>0</v>
      </c>
      <c r="K302" s="45"/>
      <c r="L302" s="45" t="n">
        <v>46270</v>
      </c>
      <c r="M302" s="50" t="str">
        <f aca="false">IF(G302="","",IF(G302="Fechado ganho","Ganha",IF(G302="Fechado perdido","Perdida","Aberta")))</f>
        <v>Perdida</v>
      </c>
      <c r="N302" s="51" t="n">
        <f aca="false">IF(B302="","",IF(M302="Aberta",DataRef-B302,IF(L302="","",L302-B302)))</f>
        <v>20</v>
      </c>
      <c r="O302" s="50" t="str">
        <f aca="false">IF(M302&lt;&gt;"Aberta","",IF(AND(K302&lt;&gt;"",K302&lt;DataRef),"Previsão vencida",IF(N302&gt;DiasParada,"Parada","")))</f>
        <v/>
      </c>
    </row>
    <row r="303" customFormat="false" ht="15" hidden="false" customHeight="false" outlineLevel="0" collapsed="false">
      <c r="A303" s="44" t="s">
        <v>453</v>
      </c>
      <c r="B303" s="45" t="n">
        <v>46252</v>
      </c>
      <c r="C303" s="46" t="s">
        <v>168</v>
      </c>
      <c r="D303" s="46" t="s">
        <v>127</v>
      </c>
      <c r="E303" s="7" t="str">
        <f aca="false">IF(C303="","",IFERROR(INDEX(cl_Regiao,MATCH(C303,cl_Nome,0)),""))</f>
        <v>Sul</v>
      </c>
      <c r="F303" s="46" t="s">
        <v>115</v>
      </c>
      <c r="G303" s="46" t="s">
        <v>116</v>
      </c>
      <c r="H303" s="47" t="n">
        <v>12700</v>
      </c>
      <c r="I303" s="48" t="n">
        <f aca="false">IF(G303="","",IFERROR(INDEX(pr_Prob,MATCH(G303,pr_Etapa,0)),0))</f>
        <v>1</v>
      </c>
      <c r="J303" s="49" t="n">
        <f aca="false">IF(H303="","",H303*I303)</f>
        <v>12700</v>
      </c>
      <c r="K303" s="45"/>
      <c r="L303" s="45" t="n">
        <v>46284</v>
      </c>
      <c r="M303" s="50" t="str">
        <f aca="false">IF(G303="","",IF(G303="Fechado ganho","Ganha",IF(G303="Fechado perdido","Perdida","Aberta")))</f>
        <v>Ganha</v>
      </c>
      <c r="N303" s="51" t="n">
        <f aca="false">IF(B303="","",IF(M303="Aberta",DataRef-B303,IF(L303="","",L303-B303)))</f>
        <v>32</v>
      </c>
      <c r="O303" s="50" t="str">
        <f aca="false">IF(M303&lt;&gt;"Aberta","",IF(AND(K303&lt;&gt;"",K303&lt;DataRef),"Previsão vencida",IF(N303&gt;DiasParada,"Parada","")))</f>
        <v/>
      </c>
    </row>
    <row r="304" customFormat="false" ht="15" hidden="false" customHeight="false" outlineLevel="0" collapsed="false">
      <c r="A304" s="44" t="s">
        <v>454</v>
      </c>
      <c r="B304" s="45" t="n">
        <v>46253</v>
      </c>
      <c r="C304" s="46" t="s">
        <v>155</v>
      </c>
      <c r="D304" s="46" t="s">
        <v>127</v>
      </c>
      <c r="E304" s="7" t="str">
        <f aca="false">IF(C304="","",IFERROR(INDEX(cl_Regiao,MATCH(C304,cl_Nome,0)),""))</f>
        <v>Sul</v>
      </c>
      <c r="F304" s="46" t="s">
        <v>122</v>
      </c>
      <c r="G304" s="46" t="s">
        <v>368</v>
      </c>
      <c r="H304" s="47" t="n">
        <v>5700</v>
      </c>
      <c r="I304" s="48" t="n">
        <f aca="false">IF(G304="","",IFERROR(INDEX(pr_Prob,MATCH(G304,pr_Etapa,0)),0))</f>
        <v>0.75</v>
      </c>
      <c r="J304" s="49" t="n">
        <f aca="false">IF(H304="","",H304*I304)</f>
        <v>4275</v>
      </c>
      <c r="K304" s="45" t="n">
        <v>46353</v>
      </c>
      <c r="L304" s="45"/>
      <c r="M304" s="50" t="str">
        <f aca="false">IF(G304="","",IF(G304="Fechado ganho","Ganha",IF(G304="Fechado perdido","Perdida","Aberta")))</f>
        <v>Aberta</v>
      </c>
      <c r="N304" s="51" t="n">
        <f aca="false">IF(B304="","",IF(M304="Aberta",DataRef-B304,IF(L304="","",L304-B304)))</f>
        <v>55</v>
      </c>
      <c r="O304" s="50" t="str">
        <f aca="false">IF(M304&lt;&gt;"Aberta","",IF(AND(K304&lt;&gt;"",K304&lt;DataRef),"Previsão vencida",IF(N304&gt;DiasParada,"Parada","")))</f>
        <v>Parada</v>
      </c>
    </row>
    <row r="305" customFormat="false" ht="15" hidden="false" customHeight="false" outlineLevel="0" collapsed="false">
      <c r="A305" s="44" t="s">
        <v>455</v>
      </c>
      <c r="B305" s="45" t="n">
        <v>46253</v>
      </c>
      <c r="C305" s="46" t="s">
        <v>164</v>
      </c>
      <c r="D305" s="46" t="s">
        <v>165</v>
      </c>
      <c r="E305" s="7" t="str">
        <f aca="false">IF(C305="","",IFERROR(INDEX(cl_Regiao,MATCH(C305,cl_Nome,0)),""))</f>
        <v>Nordeste</v>
      </c>
      <c r="F305" s="46" t="s">
        <v>115</v>
      </c>
      <c r="G305" s="46" t="s">
        <v>111</v>
      </c>
      <c r="H305" s="47" t="n">
        <v>64300</v>
      </c>
      <c r="I305" s="48" t="n">
        <f aca="false">IF(G305="","",IFERROR(INDEX(pr_Prob,MATCH(G305,pr_Etapa,0)),0))</f>
        <v>0</v>
      </c>
      <c r="J305" s="49" t="n">
        <f aca="false">IF(H305="","",H305*I305)</f>
        <v>0</v>
      </c>
      <c r="K305" s="45"/>
      <c r="L305" s="45" t="n">
        <v>46269</v>
      </c>
      <c r="M305" s="50" t="str">
        <f aca="false">IF(G305="","",IF(G305="Fechado ganho","Ganha",IF(G305="Fechado perdido","Perdida","Aberta")))</f>
        <v>Perdida</v>
      </c>
      <c r="N305" s="51" t="n">
        <f aca="false">IF(B305="","",IF(M305="Aberta",DataRef-B305,IF(L305="","",L305-B305)))</f>
        <v>16</v>
      </c>
      <c r="O305" s="50" t="str">
        <f aca="false">IF(M305&lt;&gt;"Aberta","",IF(AND(K305&lt;&gt;"",K305&lt;DataRef),"Previsão vencida",IF(N305&gt;DiasParada,"Parada","")))</f>
        <v/>
      </c>
    </row>
    <row r="306" customFormat="false" ht="15" hidden="false" customHeight="false" outlineLevel="0" collapsed="false">
      <c r="A306" s="44" t="s">
        <v>456</v>
      </c>
      <c r="B306" s="45" t="n">
        <v>46256</v>
      </c>
      <c r="C306" s="46" t="s">
        <v>153</v>
      </c>
      <c r="D306" s="46" t="s">
        <v>131</v>
      </c>
      <c r="E306" s="7" t="str">
        <f aca="false">IF(C306="","",IFERROR(INDEX(cl_Regiao,MATCH(C306,cl_Nome,0)),""))</f>
        <v>Centro-Oeste</v>
      </c>
      <c r="F306" s="46" t="s">
        <v>128</v>
      </c>
      <c r="G306" s="46" t="s">
        <v>116</v>
      </c>
      <c r="H306" s="47" t="n">
        <v>22000</v>
      </c>
      <c r="I306" s="48" t="n">
        <f aca="false">IF(G306="","",IFERROR(INDEX(pr_Prob,MATCH(G306,pr_Etapa,0)),0))</f>
        <v>1</v>
      </c>
      <c r="J306" s="49" t="n">
        <f aca="false">IF(H306="","",H306*I306)</f>
        <v>22000</v>
      </c>
      <c r="K306" s="45"/>
      <c r="L306" s="45" t="n">
        <v>46282</v>
      </c>
      <c r="M306" s="50" t="str">
        <f aca="false">IF(G306="","",IF(G306="Fechado ganho","Ganha",IF(G306="Fechado perdido","Perdida","Aberta")))</f>
        <v>Ganha</v>
      </c>
      <c r="N306" s="51" t="n">
        <f aca="false">IF(B306="","",IF(M306="Aberta",DataRef-B306,IF(L306="","",L306-B306)))</f>
        <v>26</v>
      </c>
      <c r="O306" s="50" t="str">
        <f aca="false">IF(M306&lt;&gt;"Aberta","",IF(AND(K306&lt;&gt;"",K306&lt;DataRef),"Previsão vencida",IF(N306&gt;DiasParada,"Parada","")))</f>
        <v/>
      </c>
    </row>
    <row r="307" customFormat="false" ht="15" hidden="false" customHeight="false" outlineLevel="0" collapsed="false">
      <c r="A307" s="44" t="s">
        <v>457</v>
      </c>
      <c r="B307" s="45" t="n">
        <v>46256</v>
      </c>
      <c r="C307" s="46" t="s">
        <v>168</v>
      </c>
      <c r="D307" s="46" t="s">
        <v>127</v>
      </c>
      <c r="E307" s="7" t="str">
        <f aca="false">IF(C307="","",IFERROR(INDEX(cl_Regiao,MATCH(C307,cl_Nome,0)),""))</f>
        <v>Sul</v>
      </c>
      <c r="F307" s="46" t="s">
        <v>110</v>
      </c>
      <c r="G307" s="46" t="s">
        <v>224</v>
      </c>
      <c r="H307" s="47" t="n">
        <v>10100</v>
      </c>
      <c r="I307" s="48" t="n">
        <f aca="false">IF(G307="","",IFERROR(INDEX(pr_Prob,MATCH(G307,pr_Etapa,0)),0))</f>
        <v>0.25</v>
      </c>
      <c r="J307" s="49" t="n">
        <f aca="false">IF(H307="","",H307*I307)</f>
        <v>2525</v>
      </c>
      <c r="K307" s="45" t="n">
        <v>46293</v>
      </c>
      <c r="L307" s="45"/>
      <c r="M307" s="50" t="str">
        <f aca="false">IF(G307="","",IF(G307="Fechado ganho","Ganha",IF(G307="Fechado perdido","Perdida","Aberta")))</f>
        <v>Aberta</v>
      </c>
      <c r="N307" s="51" t="n">
        <f aca="false">IF(B307="","",IF(M307="Aberta",DataRef-B307,IF(L307="","",L307-B307)))</f>
        <v>52</v>
      </c>
      <c r="O307" s="50" t="str">
        <f aca="false">IF(M307&lt;&gt;"Aberta","",IF(AND(K307&lt;&gt;"",K307&lt;DataRef),"Previsão vencida",IF(N307&gt;DiasParada,"Parada","")))</f>
        <v>Previsão vencida</v>
      </c>
    </row>
    <row r="308" customFormat="false" ht="15" hidden="false" customHeight="false" outlineLevel="0" collapsed="false">
      <c r="A308" s="44" t="s">
        <v>458</v>
      </c>
      <c r="B308" s="45" t="n">
        <v>46258</v>
      </c>
      <c r="C308" s="46" t="s">
        <v>180</v>
      </c>
      <c r="D308" s="46" t="s">
        <v>127</v>
      </c>
      <c r="E308" s="7" t="str">
        <f aca="false">IF(C308="","",IFERROR(INDEX(cl_Regiao,MATCH(C308,cl_Nome,0)),""))</f>
        <v>Sul</v>
      </c>
      <c r="F308" s="46" t="s">
        <v>115</v>
      </c>
      <c r="G308" s="46" t="s">
        <v>124</v>
      </c>
      <c r="H308" s="47" t="n">
        <v>33000</v>
      </c>
      <c r="I308" s="48" t="n">
        <f aca="false">IF(G308="","",IFERROR(INDEX(pr_Prob,MATCH(G308,pr_Etapa,0)),0))</f>
        <v>0.5</v>
      </c>
      <c r="J308" s="49" t="n">
        <f aca="false">IF(H308="","",H308*I308)</f>
        <v>16500</v>
      </c>
      <c r="K308" s="45" t="n">
        <v>46347</v>
      </c>
      <c r="L308" s="45"/>
      <c r="M308" s="50" t="str">
        <f aca="false">IF(G308="","",IF(G308="Fechado ganho","Ganha",IF(G308="Fechado perdido","Perdida","Aberta")))</f>
        <v>Aberta</v>
      </c>
      <c r="N308" s="51" t="n">
        <f aca="false">IF(B308="","",IF(M308="Aberta",DataRef-B308,IF(L308="","",L308-B308)))</f>
        <v>50</v>
      </c>
      <c r="O308" s="50" t="str">
        <f aca="false">IF(M308&lt;&gt;"Aberta","",IF(AND(K308&lt;&gt;"",K308&lt;DataRef),"Previsão vencida",IF(N308&gt;DiasParada,"Parada","")))</f>
        <v>Parada</v>
      </c>
    </row>
    <row r="309" customFormat="false" ht="15" hidden="false" customHeight="false" outlineLevel="0" collapsed="false">
      <c r="A309" s="44" t="s">
        <v>459</v>
      </c>
      <c r="B309" s="45" t="n">
        <v>46259</v>
      </c>
      <c r="C309" s="46" t="s">
        <v>148</v>
      </c>
      <c r="D309" s="46" t="s">
        <v>109</v>
      </c>
      <c r="E309" s="7" t="str">
        <f aca="false">IF(C309="","",IFERROR(INDEX(cl_Regiao,MATCH(C309,cl_Nome,0)),""))</f>
        <v>Sudeste</v>
      </c>
      <c r="F309" s="46" t="s">
        <v>115</v>
      </c>
      <c r="G309" s="46" t="s">
        <v>368</v>
      </c>
      <c r="H309" s="47" t="n">
        <v>32400</v>
      </c>
      <c r="I309" s="48" t="n">
        <f aca="false">IF(G309="","",IFERROR(INDEX(pr_Prob,MATCH(G309,pr_Etapa,0)),0))</f>
        <v>0.75</v>
      </c>
      <c r="J309" s="49" t="n">
        <f aca="false">IF(H309="","",H309*I309)</f>
        <v>24300</v>
      </c>
      <c r="K309" s="45" t="n">
        <v>46332</v>
      </c>
      <c r="L309" s="45"/>
      <c r="M309" s="50" t="str">
        <f aca="false">IF(G309="","",IF(G309="Fechado ganho","Ganha",IF(G309="Fechado perdido","Perdida","Aberta")))</f>
        <v>Aberta</v>
      </c>
      <c r="N309" s="51" t="n">
        <f aca="false">IF(B309="","",IF(M309="Aberta",DataRef-B309,IF(L309="","",L309-B309)))</f>
        <v>49</v>
      </c>
      <c r="O309" s="50" t="str">
        <f aca="false">IF(M309&lt;&gt;"Aberta","",IF(AND(K309&lt;&gt;"",K309&lt;DataRef),"Previsão vencida",IF(N309&gt;DiasParada,"Parada","")))</f>
        <v>Parada</v>
      </c>
    </row>
    <row r="310" customFormat="false" ht="15" hidden="false" customHeight="false" outlineLevel="0" collapsed="false">
      <c r="A310" s="44" t="s">
        <v>460</v>
      </c>
      <c r="B310" s="45" t="n">
        <v>46262</v>
      </c>
      <c r="C310" s="46" t="s">
        <v>153</v>
      </c>
      <c r="D310" s="46" t="s">
        <v>131</v>
      </c>
      <c r="E310" s="7" t="str">
        <f aca="false">IF(C310="","",IFERROR(INDEX(cl_Regiao,MATCH(C310,cl_Nome,0)),""))</f>
        <v>Centro-Oeste</v>
      </c>
      <c r="F310" s="46" t="s">
        <v>128</v>
      </c>
      <c r="G310" s="46" t="s">
        <v>116</v>
      </c>
      <c r="H310" s="47" t="n">
        <v>10600</v>
      </c>
      <c r="I310" s="48" t="n">
        <f aca="false">IF(G310="","",IFERROR(INDEX(pr_Prob,MATCH(G310,pr_Etapa,0)),0))</f>
        <v>1</v>
      </c>
      <c r="J310" s="49" t="n">
        <f aca="false">IF(H310="","",H310*I310)</f>
        <v>10600</v>
      </c>
      <c r="K310" s="45"/>
      <c r="L310" s="45" t="n">
        <v>46290</v>
      </c>
      <c r="M310" s="50" t="str">
        <f aca="false">IF(G310="","",IF(G310="Fechado ganho","Ganha",IF(G310="Fechado perdido","Perdida","Aberta")))</f>
        <v>Ganha</v>
      </c>
      <c r="N310" s="51" t="n">
        <f aca="false">IF(B310="","",IF(M310="Aberta",DataRef-B310,IF(L310="","",L310-B310)))</f>
        <v>28</v>
      </c>
      <c r="O310" s="50" t="str">
        <f aca="false">IF(M310&lt;&gt;"Aberta","",IF(AND(K310&lt;&gt;"",K310&lt;DataRef),"Previsão vencida",IF(N310&gt;DiasParada,"Parada","")))</f>
        <v/>
      </c>
    </row>
    <row r="311" customFormat="false" ht="15" hidden="false" customHeight="false" outlineLevel="0" collapsed="false">
      <c r="A311" s="44" t="s">
        <v>461</v>
      </c>
      <c r="B311" s="45" t="n">
        <v>46262</v>
      </c>
      <c r="C311" s="46" t="s">
        <v>168</v>
      </c>
      <c r="D311" s="46" t="s">
        <v>127</v>
      </c>
      <c r="E311" s="7" t="str">
        <f aca="false">IF(C311="","",IFERROR(INDEX(cl_Regiao,MATCH(C311,cl_Nome,0)),""))</f>
        <v>Sul</v>
      </c>
      <c r="F311" s="46" t="s">
        <v>122</v>
      </c>
      <c r="G311" s="46" t="s">
        <v>124</v>
      </c>
      <c r="H311" s="47" t="n">
        <v>7800</v>
      </c>
      <c r="I311" s="48" t="n">
        <f aca="false">IF(G311="","",IFERROR(INDEX(pr_Prob,MATCH(G311,pr_Etapa,0)),0))</f>
        <v>0.5</v>
      </c>
      <c r="J311" s="49" t="n">
        <f aca="false">IF(H311="","",H311*I311)</f>
        <v>3900</v>
      </c>
      <c r="K311" s="45" t="n">
        <v>46368</v>
      </c>
      <c r="L311" s="45"/>
      <c r="M311" s="50" t="str">
        <f aca="false">IF(G311="","",IF(G311="Fechado ganho","Ganha",IF(G311="Fechado perdido","Perdida","Aberta")))</f>
        <v>Aberta</v>
      </c>
      <c r="N311" s="51" t="n">
        <f aca="false">IF(B311="","",IF(M311="Aberta",DataRef-B311,IF(L311="","",L311-B311)))</f>
        <v>46</v>
      </c>
      <c r="O311" s="50" t="str">
        <f aca="false">IF(M311&lt;&gt;"Aberta","",IF(AND(K311&lt;&gt;"",K311&lt;DataRef),"Previsão vencida",IF(N311&gt;DiasParada,"Parada","")))</f>
        <v>Parada</v>
      </c>
    </row>
    <row r="312" customFormat="false" ht="15" hidden="false" customHeight="false" outlineLevel="0" collapsed="false">
      <c r="A312" s="44" t="s">
        <v>462</v>
      </c>
      <c r="B312" s="45" t="n">
        <v>46263</v>
      </c>
      <c r="C312" s="46" t="s">
        <v>141</v>
      </c>
      <c r="D312" s="46" t="s">
        <v>109</v>
      </c>
      <c r="E312" s="7" t="str">
        <f aca="false">IF(C312="","",IFERROR(INDEX(cl_Regiao,MATCH(C312,cl_Nome,0)),""))</f>
        <v>Sudeste</v>
      </c>
      <c r="F312" s="46" t="s">
        <v>122</v>
      </c>
      <c r="G312" s="46" t="s">
        <v>361</v>
      </c>
      <c r="H312" s="47" t="n">
        <v>14100</v>
      </c>
      <c r="I312" s="48" t="n">
        <f aca="false">IF(G312="","",IFERROR(INDEX(pr_Prob,MATCH(G312,pr_Etapa,0)),0))</f>
        <v>0.1</v>
      </c>
      <c r="J312" s="49" t="n">
        <f aca="false">IF(H312="","",H312*I312)</f>
        <v>1410</v>
      </c>
      <c r="K312" s="45" t="n">
        <v>46316</v>
      </c>
      <c r="L312" s="45"/>
      <c r="M312" s="50" t="str">
        <f aca="false">IF(G312="","",IF(G312="Fechado ganho","Ganha",IF(G312="Fechado perdido","Perdida","Aberta")))</f>
        <v>Aberta</v>
      </c>
      <c r="N312" s="51" t="n">
        <f aca="false">IF(B312="","",IF(M312="Aberta",DataRef-B312,IF(L312="","",L312-B312)))</f>
        <v>45</v>
      </c>
      <c r="O312" s="50" t="str">
        <f aca="false">IF(M312&lt;&gt;"Aberta","",IF(AND(K312&lt;&gt;"",K312&lt;DataRef),"Previsão vencida",IF(N312&gt;DiasParada,"Parada","")))</f>
        <v/>
      </c>
    </row>
    <row r="313" customFormat="false" ht="15" hidden="false" customHeight="false" outlineLevel="0" collapsed="false">
      <c r="A313" s="44" t="s">
        <v>463</v>
      </c>
      <c r="B313" s="45" t="n">
        <v>46267</v>
      </c>
      <c r="C313" s="46" t="s">
        <v>130</v>
      </c>
      <c r="D313" s="46" t="s">
        <v>131</v>
      </c>
      <c r="E313" s="7" t="str">
        <f aca="false">IF(C313="","",IFERROR(INDEX(cl_Regiao,MATCH(C313,cl_Nome,0)),""))</f>
        <v>Centro-Oeste</v>
      </c>
      <c r="F313" s="46" t="s">
        <v>122</v>
      </c>
      <c r="G313" s="46" t="s">
        <v>368</v>
      </c>
      <c r="H313" s="47" t="n">
        <v>12300</v>
      </c>
      <c r="I313" s="48" t="n">
        <f aca="false">IF(G313="","",IFERROR(INDEX(pr_Prob,MATCH(G313,pr_Etapa,0)),0))</f>
        <v>0.75</v>
      </c>
      <c r="J313" s="49" t="n">
        <f aca="false">IF(H313="","",H313*I313)</f>
        <v>9225</v>
      </c>
      <c r="K313" s="45" t="n">
        <v>46337</v>
      </c>
      <c r="L313" s="45"/>
      <c r="M313" s="50" t="str">
        <f aca="false">IF(G313="","",IF(G313="Fechado ganho","Ganha",IF(G313="Fechado perdido","Perdida","Aberta")))</f>
        <v>Aberta</v>
      </c>
      <c r="N313" s="51" t="n">
        <f aca="false">IF(B313="","",IF(M313="Aberta",DataRef-B313,IF(L313="","",L313-B313)))</f>
        <v>41</v>
      </c>
      <c r="O313" s="50" t="str">
        <f aca="false">IF(M313&lt;&gt;"Aberta","",IF(AND(K313&lt;&gt;"",K313&lt;DataRef),"Previsão vencida",IF(N313&gt;DiasParada,"Parada","")))</f>
        <v/>
      </c>
    </row>
    <row r="314" customFormat="false" ht="15" hidden="false" customHeight="false" outlineLevel="0" collapsed="false">
      <c r="A314" s="44" t="s">
        <v>464</v>
      </c>
      <c r="B314" s="45" t="n">
        <v>46267</v>
      </c>
      <c r="C314" s="46" t="s">
        <v>207</v>
      </c>
      <c r="D314" s="46" t="s">
        <v>165</v>
      </c>
      <c r="E314" s="7" t="str">
        <f aca="false">IF(C314="","",IFERROR(INDEX(cl_Regiao,MATCH(C314,cl_Nome,0)),""))</f>
        <v>Nordeste</v>
      </c>
      <c r="F314" s="46" t="s">
        <v>110</v>
      </c>
      <c r="G314" s="46" t="s">
        <v>111</v>
      </c>
      <c r="H314" s="47" t="n">
        <v>9000</v>
      </c>
      <c r="I314" s="48" t="n">
        <f aca="false">IF(G314="","",IFERROR(INDEX(pr_Prob,MATCH(G314,pr_Etapa,0)),0))</f>
        <v>0</v>
      </c>
      <c r="J314" s="49" t="n">
        <f aca="false">IF(H314="","",H314*I314)</f>
        <v>0</v>
      </c>
      <c r="K314" s="45"/>
      <c r="L314" s="45" t="n">
        <v>46294</v>
      </c>
      <c r="M314" s="50" t="str">
        <f aca="false">IF(G314="","",IF(G314="Fechado ganho","Ganha",IF(G314="Fechado perdido","Perdida","Aberta")))</f>
        <v>Perdida</v>
      </c>
      <c r="N314" s="51" t="n">
        <f aca="false">IF(B314="","",IF(M314="Aberta",DataRef-B314,IF(L314="","",L314-B314)))</f>
        <v>27</v>
      </c>
      <c r="O314" s="50" t="str">
        <f aca="false">IF(M314&lt;&gt;"Aberta","",IF(AND(K314&lt;&gt;"",K314&lt;DataRef),"Previsão vencida",IF(N314&gt;DiasParada,"Parada","")))</f>
        <v/>
      </c>
    </row>
    <row r="315" customFormat="false" ht="15" hidden="false" customHeight="false" outlineLevel="0" collapsed="false">
      <c r="A315" s="44" t="s">
        <v>465</v>
      </c>
      <c r="B315" s="45" t="n">
        <v>46269</v>
      </c>
      <c r="C315" s="46" t="s">
        <v>145</v>
      </c>
      <c r="D315" s="46" t="s">
        <v>114</v>
      </c>
      <c r="E315" s="7" t="str">
        <f aca="false">IF(C315="","",IFERROR(INDEX(cl_Regiao,MATCH(C315,cl_Nome,0)),""))</f>
        <v>Norte</v>
      </c>
      <c r="F315" s="46" t="s">
        <v>128</v>
      </c>
      <c r="G315" s="46" t="s">
        <v>361</v>
      </c>
      <c r="H315" s="47" t="n">
        <v>28700</v>
      </c>
      <c r="I315" s="48" t="n">
        <f aca="false">IF(G315="","",IFERROR(INDEX(pr_Prob,MATCH(G315,pr_Etapa,0)),0))</f>
        <v>0.1</v>
      </c>
      <c r="J315" s="49" t="n">
        <f aca="false">IF(H315="","",H315*I315)</f>
        <v>2870</v>
      </c>
      <c r="K315" s="45" t="n">
        <v>46358</v>
      </c>
      <c r="L315" s="45"/>
      <c r="M315" s="50" t="str">
        <f aca="false">IF(G315="","",IF(G315="Fechado ganho","Ganha",IF(G315="Fechado perdido","Perdida","Aberta")))</f>
        <v>Aberta</v>
      </c>
      <c r="N315" s="51" t="n">
        <f aca="false">IF(B315="","",IF(M315="Aberta",DataRef-B315,IF(L315="","",L315-B315)))</f>
        <v>39</v>
      </c>
      <c r="O315" s="50" t="str">
        <f aca="false">IF(M315&lt;&gt;"Aberta","",IF(AND(K315&lt;&gt;"",K315&lt;DataRef),"Previsão vencida",IF(N315&gt;DiasParada,"Parada","")))</f>
        <v/>
      </c>
    </row>
    <row r="316" customFormat="false" ht="15" hidden="false" customHeight="false" outlineLevel="0" collapsed="false">
      <c r="A316" s="44" t="s">
        <v>466</v>
      </c>
      <c r="B316" s="45" t="n">
        <v>46269</v>
      </c>
      <c r="C316" s="46" t="s">
        <v>137</v>
      </c>
      <c r="D316" s="46" t="s">
        <v>114</v>
      </c>
      <c r="E316" s="7" t="str">
        <f aca="false">IF(C316="","",IFERROR(INDEX(cl_Regiao,MATCH(C316,cl_Nome,0)),""))</f>
        <v>Norte</v>
      </c>
      <c r="F316" s="46" t="s">
        <v>122</v>
      </c>
      <c r="G316" s="46" t="s">
        <v>224</v>
      </c>
      <c r="H316" s="47" t="n">
        <v>10800</v>
      </c>
      <c r="I316" s="48" t="n">
        <f aca="false">IF(G316="","",IFERROR(INDEX(pr_Prob,MATCH(G316,pr_Etapa,0)),0))</f>
        <v>0.25</v>
      </c>
      <c r="J316" s="49" t="n">
        <f aca="false">IF(H316="","",H316*I316)</f>
        <v>2700</v>
      </c>
      <c r="K316" s="45" t="n">
        <v>46375</v>
      </c>
      <c r="L316" s="45"/>
      <c r="M316" s="50" t="str">
        <f aca="false">IF(G316="","",IF(G316="Fechado ganho","Ganha",IF(G316="Fechado perdido","Perdida","Aberta")))</f>
        <v>Aberta</v>
      </c>
      <c r="N316" s="51" t="n">
        <f aca="false">IF(B316="","",IF(M316="Aberta",DataRef-B316,IF(L316="","",L316-B316)))</f>
        <v>39</v>
      </c>
      <c r="O316" s="50" t="str">
        <f aca="false">IF(M316&lt;&gt;"Aberta","",IF(AND(K316&lt;&gt;"",K316&lt;DataRef),"Previsão vencida",IF(N316&gt;DiasParada,"Parada","")))</f>
        <v/>
      </c>
    </row>
    <row r="317" customFormat="false" ht="15" hidden="false" customHeight="false" outlineLevel="0" collapsed="false">
      <c r="A317" s="44" t="s">
        <v>467</v>
      </c>
      <c r="B317" s="45" t="n">
        <v>46270</v>
      </c>
      <c r="C317" s="46" t="s">
        <v>108</v>
      </c>
      <c r="D317" s="46" t="s">
        <v>109</v>
      </c>
      <c r="E317" s="7" t="str">
        <f aca="false">IF(C317="","",IFERROR(INDEX(cl_Regiao,MATCH(C317,cl_Nome,0)),""))</f>
        <v>Sudeste</v>
      </c>
      <c r="F317" s="46" t="s">
        <v>128</v>
      </c>
      <c r="G317" s="46" t="s">
        <v>124</v>
      </c>
      <c r="H317" s="47" t="n">
        <v>10000</v>
      </c>
      <c r="I317" s="48" t="n">
        <f aca="false">IF(G317="","",IFERROR(INDEX(pr_Prob,MATCH(G317,pr_Etapa,0)),0))</f>
        <v>0.5</v>
      </c>
      <c r="J317" s="49" t="n">
        <f aca="false">IF(H317="","",H317*I317)</f>
        <v>5000</v>
      </c>
      <c r="K317" s="45" t="n">
        <v>46363</v>
      </c>
      <c r="L317" s="45"/>
      <c r="M317" s="50" t="str">
        <f aca="false">IF(G317="","",IF(G317="Fechado ganho","Ganha",IF(G317="Fechado perdido","Perdida","Aberta")))</f>
        <v>Aberta</v>
      </c>
      <c r="N317" s="51" t="n">
        <f aca="false">IF(B317="","",IF(M317="Aberta",DataRef-B317,IF(L317="","",L317-B317)))</f>
        <v>38</v>
      </c>
      <c r="O317" s="50" t="str">
        <f aca="false">IF(M317&lt;&gt;"Aberta","",IF(AND(K317&lt;&gt;"",K317&lt;DataRef),"Previsão vencida",IF(N317&gt;DiasParada,"Parada","")))</f>
        <v/>
      </c>
    </row>
    <row r="318" customFormat="false" ht="15" hidden="false" customHeight="false" outlineLevel="0" collapsed="false">
      <c r="A318" s="44" t="s">
        <v>468</v>
      </c>
      <c r="B318" s="45" t="n">
        <v>46271</v>
      </c>
      <c r="C318" s="46" t="s">
        <v>351</v>
      </c>
      <c r="D318" s="46" t="s">
        <v>119</v>
      </c>
      <c r="E318" s="7" t="str">
        <f aca="false">IF(C318="","",IFERROR(INDEX(cl_Regiao,MATCH(C318,cl_Nome,0)),""))</f>
        <v>Sudeste</v>
      </c>
      <c r="F318" s="46" t="s">
        <v>128</v>
      </c>
      <c r="G318" s="46" t="s">
        <v>224</v>
      </c>
      <c r="H318" s="47" t="n">
        <v>5200</v>
      </c>
      <c r="I318" s="48" t="n">
        <f aca="false">IF(G318="","",IFERROR(INDEX(pr_Prob,MATCH(G318,pr_Etapa,0)),0))</f>
        <v>0.25</v>
      </c>
      <c r="J318" s="49" t="n">
        <f aca="false">IF(H318="","",H318*I318)</f>
        <v>1300</v>
      </c>
      <c r="K318" s="45" t="n">
        <v>46337</v>
      </c>
      <c r="L318" s="45"/>
      <c r="M318" s="50" t="str">
        <f aca="false">IF(G318="","",IF(G318="Fechado ganho","Ganha",IF(G318="Fechado perdido","Perdida","Aberta")))</f>
        <v>Aberta</v>
      </c>
      <c r="N318" s="51" t="n">
        <f aca="false">IF(B318="","",IF(M318="Aberta",DataRef-B318,IF(L318="","",L318-B318)))</f>
        <v>37</v>
      </c>
      <c r="O318" s="50" t="str">
        <f aca="false">IF(M318&lt;&gt;"Aberta","",IF(AND(K318&lt;&gt;"",K318&lt;DataRef),"Previsão vencida",IF(N318&gt;DiasParada,"Parada","")))</f>
        <v/>
      </c>
    </row>
    <row r="319" customFormat="false" ht="15" hidden="false" customHeight="false" outlineLevel="0" collapsed="false">
      <c r="A319" s="44" t="s">
        <v>469</v>
      </c>
      <c r="B319" s="45" t="n">
        <v>46272</v>
      </c>
      <c r="C319" s="46" t="s">
        <v>346</v>
      </c>
      <c r="D319" s="46" t="s">
        <v>127</v>
      </c>
      <c r="E319" s="7" t="str">
        <f aca="false">IF(C319="","",IFERROR(INDEX(cl_Regiao,MATCH(C319,cl_Nome,0)),""))</f>
        <v>Sul</v>
      </c>
      <c r="F319" s="46" t="s">
        <v>122</v>
      </c>
      <c r="G319" s="46" t="s">
        <v>361</v>
      </c>
      <c r="H319" s="47" t="n">
        <v>3700</v>
      </c>
      <c r="I319" s="48" t="n">
        <f aca="false">IF(G319="","",IFERROR(INDEX(pr_Prob,MATCH(G319,pr_Etapa,0)),0))</f>
        <v>0.1</v>
      </c>
      <c r="J319" s="49" t="n">
        <f aca="false">IF(H319="","",H319*I319)</f>
        <v>370</v>
      </c>
      <c r="K319" s="45" t="n">
        <v>46359</v>
      </c>
      <c r="L319" s="45"/>
      <c r="M319" s="50" t="str">
        <f aca="false">IF(G319="","",IF(G319="Fechado ganho","Ganha",IF(G319="Fechado perdido","Perdida","Aberta")))</f>
        <v>Aberta</v>
      </c>
      <c r="N319" s="51" t="n">
        <f aca="false">IF(B319="","",IF(M319="Aberta",DataRef-B319,IF(L319="","",L319-B319)))</f>
        <v>36</v>
      </c>
      <c r="O319" s="50" t="str">
        <f aca="false">IF(M319&lt;&gt;"Aberta","",IF(AND(K319&lt;&gt;"",K319&lt;DataRef),"Previsão vencida",IF(N319&gt;DiasParada,"Parada","")))</f>
        <v/>
      </c>
    </row>
    <row r="320" customFormat="false" ht="15" hidden="false" customHeight="false" outlineLevel="0" collapsed="false">
      <c r="A320" s="44" t="s">
        <v>470</v>
      </c>
      <c r="B320" s="45" t="n">
        <v>46275</v>
      </c>
      <c r="C320" s="46" t="s">
        <v>207</v>
      </c>
      <c r="D320" s="46" t="s">
        <v>165</v>
      </c>
      <c r="E320" s="7" t="str">
        <f aca="false">IF(C320="","",IFERROR(INDEX(cl_Regiao,MATCH(C320,cl_Nome,0)),""))</f>
        <v>Nordeste</v>
      </c>
      <c r="F320" s="46" t="s">
        <v>122</v>
      </c>
      <c r="G320" s="46" t="s">
        <v>368</v>
      </c>
      <c r="H320" s="47" t="n">
        <v>3800</v>
      </c>
      <c r="I320" s="48" t="n">
        <f aca="false">IF(G320="","",IFERROR(INDEX(pr_Prob,MATCH(G320,pr_Etapa,0)),0))</f>
        <v>0.75</v>
      </c>
      <c r="J320" s="49" t="n">
        <f aca="false">IF(H320="","",H320*I320)</f>
        <v>2850</v>
      </c>
      <c r="K320" s="45" t="n">
        <v>46323</v>
      </c>
      <c r="L320" s="45"/>
      <c r="M320" s="50" t="str">
        <f aca="false">IF(G320="","",IF(G320="Fechado ganho","Ganha",IF(G320="Fechado perdido","Perdida","Aberta")))</f>
        <v>Aberta</v>
      </c>
      <c r="N320" s="51" t="n">
        <f aca="false">IF(B320="","",IF(M320="Aberta",DataRef-B320,IF(L320="","",L320-B320)))</f>
        <v>33</v>
      </c>
      <c r="O320" s="50" t="str">
        <f aca="false">IF(M320&lt;&gt;"Aberta","",IF(AND(K320&lt;&gt;"",K320&lt;DataRef),"Previsão vencida",IF(N320&gt;DiasParada,"Parada","")))</f>
        <v/>
      </c>
    </row>
    <row r="321" customFormat="false" ht="15" hidden="false" customHeight="false" outlineLevel="0" collapsed="false">
      <c r="A321" s="44" t="s">
        <v>471</v>
      </c>
      <c r="B321" s="45" t="n">
        <v>46276</v>
      </c>
      <c r="C321" s="46" t="s">
        <v>135</v>
      </c>
      <c r="D321" s="46" t="s">
        <v>119</v>
      </c>
      <c r="E321" s="7" t="str">
        <f aca="false">IF(C321="","",IFERROR(INDEX(cl_Regiao,MATCH(C321,cl_Nome,0)),""))</f>
        <v>Sudeste</v>
      </c>
      <c r="F321" s="46" t="s">
        <v>122</v>
      </c>
      <c r="G321" s="46" t="s">
        <v>124</v>
      </c>
      <c r="H321" s="47" t="n">
        <v>9000</v>
      </c>
      <c r="I321" s="48" t="n">
        <f aca="false">IF(G321="","",IFERROR(INDEX(pr_Prob,MATCH(G321,pr_Etapa,0)),0))</f>
        <v>0.5</v>
      </c>
      <c r="J321" s="49" t="n">
        <f aca="false">IF(H321="","",H321*I321)</f>
        <v>4500</v>
      </c>
      <c r="K321" s="45" t="n">
        <v>46367</v>
      </c>
      <c r="L321" s="45"/>
      <c r="M321" s="50" t="str">
        <f aca="false">IF(G321="","",IF(G321="Fechado ganho","Ganha",IF(G321="Fechado perdido","Perdida","Aberta")))</f>
        <v>Aberta</v>
      </c>
      <c r="N321" s="51" t="n">
        <f aca="false">IF(B321="","",IF(M321="Aberta",DataRef-B321,IF(L321="","",L321-B321)))</f>
        <v>32</v>
      </c>
      <c r="O321" s="50" t="str">
        <f aca="false">IF(M321&lt;&gt;"Aberta","",IF(AND(K321&lt;&gt;"",K321&lt;DataRef),"Previsão vencida",IF(N321&gt;DiasParada,"Parada","")))</f>
        <v/>
      </c>
    </row>
    <row r="322" customFormat="false" ht="15" hidden="false" customHeight="false" outlineLevel="0" collapsed="false">
      <c r="A322" s="44" t="s">
        <v>472</v>
      </c>
      <c r="B322" s="45" t="n">
        <v>46278</v>
      </c>
      <c r="C322" s="46" t="s">
        <v>182</v>
      </c>
      <c r="D322" s="46" t="s">
        <v>109</v>
      </c>
      <c r="E322" s="7" t="str">
        <f aca="false">IF(C322="","",IFERROR(INDEX(cl_Regiao,MATCH(C322,cl_Nome,0)),""))</f>
        <v>Sudeste</v>
      </c>
      <c r="F322" s="46" t="s">
        <v>128</v>
      </c>
      <c r="G322" s="46" t="s">
        <v>224</v>
      </c>
      <c r="H322" s="47" t="n">
        <v>29300</v>
      </c>
      <c r="I322" s="48" t="n">
        <f aca="false">IF(G322="","",IFERROR(INDEX(pr_Prob,MATCH(G322,pr_Etapa,0)),0))</f>
        <v>0.25</v>
      </c>
      <c r="J322" s="49" t="n">
        <f aca="false">IF(H322="","",H322*I322)</f>
        <v>7325</v>
      </c>
      <c r="K322" s="45" t="n">
        <v>46329</v>
      </c>
      <c r="L322" s="45"/>
      <c r="M322" s="50" t="str">
        <f aca="false">IF(G322="","",IF(G322="Fechado ganho","Ganha",IF(G322="Fechado perdido","Perdida","Aberta")))</f>
        <v>Aberta</v>
      </c>
      <c r="N322" s="51" t="n">
        <f aca="false">IF(B322="","",IF(M322="Aberta",DataRef-B322,IF(L322="","",L322-B322)))</f>
        <v>30</v>
      </c>
      <c r="O322" s="50" t="str">
        <f aca="false">IF(M322&lt;&gt;"Aberta","",IF(AND(K322&lt;&gt;"",K322&lt;DataRef),"Previsão vencida",IF(N322&gt;DiasParada,"Parada","")))</f>
        <v/>
      </c>
    </row>
    <row r="323" customFormat="false" ht="15" hidden="false" customHeight="false" outlineLevel="0" collapsed="false">
      <c r="A323" s="44" t="s">
        <v>473</v>
      </c>
      <c r="B323" s="45" t="n">
        <v>46278</v>
      </c>
      <c r="C323" s="46" t="s">
        <v>162</v>
      </c>
      <c r="D323" s="46" t="s">
        <v>131</v>
      </c>
      <c r="E323" s="7" t="str">
        <f aca="false">IF(C323="","",IFERROR(INDEX(cl_Regiao,MATCH(C323,cl_Nome,0)),""))</f>
        <v>Centro-Oeste</v>
      </c>
      <c r="F323" s="46" t="s">
        <v>110</v>
      </c>
      <c r="G323" s="46" t="s">
        <v>224</v>
      </c>
      <c r="H323" s="47" t="n">
        <v>9500</v>
      </c>
      <c r="I323" s="48" t="n">
        <f aca="false">IF(G323="","",IFERROR(INDEX(pr_Prob,MATCH(G323,pr_Etapa,0)),0))</f>
        <v>0.25</v>
      </c>
      <c r="J323" s="49" t="n">
        <f aca="false">IF(H323="","",H323*I323)</f>
        <v>2375</v>
      </c>
      <c r="K323" s="45" t="n">
        <v>46329</v>
      </c>
      <c r="L323" s="45"/>
      <c r="M323" s="50" t="str">
        <f aca="false">IF(G323="","",IF(G323="Fechado ganho","Ganha",IF(G323="Fechado perdido","Perdida","Aberta")))</f>
        <v>Aberta</v>
      </c>
      <c r="N323" s="51" t="n">
        <f aca="false">IF(B323="","",IF(M323="Aberta",DataRef-B323,IF(L323="","",L323-B323)))</f>
        <v>30</v>
      </c>
      <c r="O323" s="50" t="str">
        <f aca="false">IF(M323&lt;&gt;"Aberta","",IF(AND(K323&lt;&gt;"",K323&lt;DataRef),"Previsão vencida",IF(N323&gt;DiasParada,"Parada","")))</f>
        <v/>
      </c>
    </row>
    <row r="324" customFormat="false" ht="15" hidden="false" customHeight="false" outlineLevel="0" collapsed="false">
      <c r="A324" s="44" t="s">
        <v>474</v>
      </c>
      <c r="B324" s="45" t="n">
        <v>46278</v>
      </c>
      <c r="C324" s="46" t="s">
        <v>236</v>
      </c>
      <c r="D324" s="46" t="s">
        <v>165</v>
      </c>
      <c r="E324" s="7" t="str">
        <f aca="false">IF(C324="","",IFERROR(INDEX(cl_Regiao,MATCH(C324,cl_Nome,0)),""))</f>
        <v>Nordeste</v>
      </c>
      <c r="F324" s="46" t="s">
        <v>115</v>
      </c>
      <c r="G324" s="46" t="s">
        <v>224</v>
      </c>
      <c r="H324" s="47" t="n">
        <v>90900</v>
      </c>
      <c r="I324" s="48" t="n">
        <f aca="false">IF(G324="","",IFERROR(INDEX(pr_Prob,MATCH(G324,pr_Etapa,0)),0))</f>
        <v>0.25</v>
      </c>
      <c r="J324" s="49" t="n">
        <f aca="false">IF(H324="","",H324*I324)</f>
        <v>22725</v>
      </c>
      <c r="K324" s="45" t="n">
        <v>46363</v>
      </c>
      <c r="L324" s="45"/>
      <c r="M324" s="50" t="str">
        <f aca="false">IF(G324="","",IF(G324="Fechado ganho","Ganha",IF(G324="Fechado perdido","Perdida","Aberta")))</f>
        <v>Aberta</v>
      </c>
      <c r="N324" s="51" t="n">
        <f aca="false">IF(B324="","",IF(M324="Aberta",DataRef-B324,IF(L324="","",L324-B324)))</f>
        <v>30</v>
      </c>
      <c r="O324" s="50" t="str">
        <f aca="false">IF(M324&lt;&gt;"Aberta","",IF(AND(K324&lt;&gt;"",K324&lt;DataRef),"Previsão vencida",IF(N324&gt;DiasParada,"Parada","")))</f>
        <v/>
      </c>
    </row>
    <row r="325" customFormat="false" ht="15" hidden="false" customHeight="false" outlineLevel="0" collapsed="false">
      <c r="A325" s="44" t="s">
        <v>475</v>
      </c>
      <c r="B325" s="45" t="n">
        <v>46280</v>
      </c>
      <c r="C325" s="46" t="s">
        <v>137</v>
      </c>
      <c r="D325" s="46" t="s">
        <v>114</v>
      </c>
      <c r="E325" s="7" t="str">
        <f aca="false">IF(C325="","",IFERROR(INDEX(cl_Regiao,MATCH(C325,cl_Nome,0)),""))</f>
        <v>Norte</v>
      </c>
      <c r="F325" s="46" t="s">
        <v>110</v>
      </c>
      <c r="G325" s="46" t="s">
        <v>124</v>
      </c>
      <c r="H325" s="47" t="n">
        <v>2800</v>
      </c>
      <c r="I325" s="48" t="n">
        <f aca="false">IF(G325="","",IFERROR(INDEX(pr_Prob,MATCH(G325,pr_Etapa,0)),0))</f>
        <v>0.5</v>
      </c>
      <c r="J325" s="49" t="n">
        <f aca="false">IF(H325="","",H325*I325)</f>
        <v>1400</v>
      </c>
      <c r="K325" s="45" t="n">
        <v>46366</v>
      </c>
      <c r="L325" s="45"/>
      <c r="M325" s="50" t="str">
        <f aca="false">IF(G325="","",IF(G325="Fechado ganho","Ganha",IF(G325="Fechado perdido","Perdida","Aberta")))</f>
        <v>Aberta</v>
      </c>
      <c r="N325" s="51" t="n">
        <f aca="false">IF(B325="","",IF(M325="Aberta",DataRef-B325,IF(L325="","",L325-B325)))</f>
        <v>28</v>
      </c>
      <c r="O325" s="50" t="str">
        <f aca="false">IF(M325&lt;&gt;"Aberta","",IF(AND(K325&lt;&gt;"",K325&lt;DataRef),"Previsão vencida",IF(N325&gt;DiasParada,"Parada","")))</f>
        <v/>
      </c>
    </row>
    <row r="326" customFormat="false" ht="15" hidden="false" customHeight="false" outlineLevel="0" collapsed="false">
      <c r="A326" s="44" t="s">
        <v>476</v>
      </c>
      <c r="B326" s="45" t="n">
        <v>46280</v>
      </c>
      <c r="C326" s="46" t="s">
        <v>171</v>
      </c>
      <c r="D326" s="46" t="s">
        <v>165</v>
      </c>
      <c r="E326" s="7" t="str">
        <f aca="false">IF(C326="","",IFERROR(INDEX(cl_Regiao,MATCH(C326,cl_Nome,0)),""))</f>
        <v>Nordeste</v>
      </c>
      <c r="F326" s="46" t="s">
        <v>110</v>
      </c>
      <c r="G326" s="46" t="s">
        <v>368</v>
      </c>
      <c r="H326" s="47" t="n">
        <v>2500</v>
      </c>
      <c r="I326" s="48" t="n">
        <f aca="false">IF(G326="","",IFERROR(INDEX(pr_Prob,MATCH(G326,pr_Etapa,0)),0))</f>
        <v>0.75</v>
      </c>
      <c r="J326" s="49" t="n">
        <f aca="false">IF(H326="","",H326*I326)</f>
        <v>1875</v>
      </c>
      <c r="K326" s="45" t="n">
        <v>46393</v>
      </c>
      <c r="L326" s="45"/>
      <c r="M326" s="50" t="str">
        <f aca="false">IF(G326="","",IF(G326="Fechado ganho","Ganha",IF(G326="Fechado perdido","Perdida","Aberta")))</f>
        <v>Aberta</v>
      </c>
      <c r="N326" s="51" t="n">
        <f aca="false">IF(B326="","",IF(M326="Aberta",DataRef-B326,IF(L326="","",L326-B326)))</f>
        <v>28</v>
      </c>
      <c r="O326" s="50" t="str">
        <f aca="false">IF(M326&lt;&gt;"Aberta","",IF(AND(K326&lt;&gt;"",K326&lt;DataRef),"Previsão vencida",IF(N326&gt;DiasParada,"Parada","")))</f>
        <v/>
      </c>
    </row>
    <row r="327" customFormat="false" ht="15" hidden="false" customHeight="false" outlineLevel="0" collapsed="false">
      <c r="A327" s="44" t="s">
        <v>477</v>
      </c>
      <c r="B327" s="45" t="n">
        <v>46280</v>
      </c>
      <c r="C327" s="46" t="s">
        <v>192</v>
      </c>
      <c r="D327" s="46" t="s">
        <v>119</v>
      </c>
      <c r="E327" s="7" t="str">
        <f aca="false">IF(C327="","",IFERROR(INDEX(cl_Regiao,MATCH(C327,cl_Nome,0)),""))</f>
        <v>Sudeste</v>
      </c>
      <c r="F327" s="46" t="s">
        <v>110</v>
      </c>
      <c r="G327" s="46" t="s">
        <v>124</v>
      </c>
      <c r="H327" s="47" t="n">
        <v>3600</v>
      </c>
      <c r="I327" s="48" t="n">
        <f aca="false">IF(G327="","",IFERROR(INDEX(pr_Prob,MATCH(G327,pr_Etapa,0)),0))</f>
        <v>0.5</v>
      </c>
      <c r="J327" s="49" t="n">
        <f aca="false">IF(H327="","",H327*I327)</f>
        <v>1800</v>
      </c>
      <c r="K327" s="45" t="n">
        <v>46339</v>
      </c>
      <c r="L327" s="45"/>
      <c r="M327" s="50" t="str">
        <f aca="false">IF(G327="","",IF(G327="Fechado ganho","Ganha",IF(G327="Fechado perdido","Perdida","Aberta")))</f>
        <v>Aberta</v>
      </c>
      <c r="N327" s="51" t="n">
        <f aca="false">IF(B327="","",IF(M327="Aberta",DataRef-B327,IF(L327="","",L327-B327)))</f>
        <v>28</v>
      </c>
      <c r="O327" s="50" t="str">
        <f aca="false">IF(M327&lt;&gt;"Aberta","",IF(AND(K327&lt;&gt;"",K327&lt;DataRef),"Previsão vencida",IF(N327&gt;DiasParada,"Parada","")))</f>
        <v/>
      </c>
    </row>
    <row r="328" customFormat="false" ht="15" hidden="false" customHeight="false" outlineLevel="0" collapsed="false">
      <c r="A328" s="44" t="s">
        <v>478</v>
      </c>
      <c r="B328" s="45" t="n">
        <v>46280</v>
      </c>
      <c r="C328" s="46" t="s">
        <v>155</v>
      </c>
      <c r="D328" s="46" t="s">
        <v>127</v>
      </c>
      <c r="E328" s="7" t="str">
        <f aca="false">IF(C328="","",IFERROR(INDEX(cl_Regiao,MATCH(C328,cl_Nome,0)),""))</f>
        <v>Sul</v>
      </c>
      <c r="F328" s="46" t="s">
        <v>122</v>
      </c>
      <c r="G328" s="46" t="s">
        <v>224</v>
      </c>
      <c r="H328" s="47" t="n">
        <v>12100</v>
      </c>
      <c r="I328" s="48" t="n">
        <f aca="false">IF(G328="","",IFERROR(INDEX(pr_Prob,MATCH(G328,pr_Etapa,0)),0))</f>
        <v>0.25</v>
      </c>
      <c r="J328" s="49" t="n">
        <f aca="false">IF(H328="","",H328*I328)</f>
        <v>3025</v>
      </c>
      <c r="K328" s="45" t="n">
        <v>46323</v>
      </c>
      <c r="L328" s="45"/>
      <c r="M328" s="50" t="str">
        <f aca="false">IF(G328="","",IF(G328="Fechado ganho","Ganha",IF(G328="Fechado perdido","Perdida","Aberta")))</f>
        <v>Aberta</v>
      </c>
      <c r="N328" s="51" t="n">
        <f aca="false">IF(B328="","",IF(M328="Aberta",DataRef-B328,IF(L328="","",L328-B328)))</f>
        <v>28</v>
      </c>
      <c r="O328" s="50" t="str">
        <f aca="false">IF(M328&lt;&gt;"Aberta","",IF(AND(K328&lt;&gt;"",K328&lt;DataRef),"Previsão vencida",IF(N328&gt;DiasParada,"Parada","")))</f>
        <v/>
      </c>
    </row>
    <row r="329" customFormat="false" ht="15" hidden="false" customHeight="false" outlineLevel="0" collapsed="false">
      <c r="A329" s="44" t="s">
        <v>479</v>
      </c>
      <c r="B329" s="45" t="n">
        <v>46281</v>
      </c>
      <c r="C329" s="46" t="s">
        <v>192</v>
      </c>
      <c r="D329" s="46" t="s">
        <v>119</v>
      </c>
      <c r="E329" s="7" t="str">
        <f aca="false">IF(C329="","",IFERROR(INDEX(cl_Regiao,MATCH(C329,cl_Nome,0)),""))</f>
        <v>Sudeste</v>
      </c>
      <c r="F329" s="46" t="s">
        <v>128</v>
      </c>
      <c r="G329" s="46" t="s">
        <v>368</v>
      </c>
      <c r="H329" s="47" t="n">
        <v>8500</v>
      </c>
      <c r="I329" s="48" t="n">
        <f aca="false">IF(G329="","",IFERROR(INDEX(pr_Prob,MATCH(G329,pr_Etapa,0)),0))</f>
        <v>0.75</v>
      </c>
      <c r="J329" s="49" t="n">
        <f aca="false">IF(H329="","",H329*I329)</f>
        <v>6375</v>
      </c>
      <c r="K329" s="45" t="n">
        <v>46360</v>
      </c>
      <c r="L329" s="45"/>
      <c r="M329" s="50" t="str">
        <f aca="false">IF(G329="","",IF(G329="Fechado ganho","Ganha",IF(G329="Fechado perdido","Perdida","Aberta")))</f>
        <v>Aberta</v>
      </c>
      <c r="N329" s="51" t="n">
        <f aca="false">IF(B329="","",IF(M329="Aberta",DataRef-B329,IF(L329="","",L329-B329)))</f>
        <v>27</v>
      </c>
      <c r="O329" s="50" t="str">
        <f aca="false">IF(M329&lt;&gt;"Aberta","",IF(AND(K329&lt;&gt;"",K329&lt;DataRef),"Previsão vencida",IF(N329&gt;DiasParada,"Parada","")))</f>
        <v/>
      </c>
    </row>
    <row r="330" customFormat="false" ht="15" hidden="false" customHeight="false" outlineLevel="0" collapsed="false">
      <c r="A330" s="44" t="s">
        <v>480</v>
      </c>
      <c r="B330" s="45" t="n">
        <v>46282</v>
      </c>
      <c r="C330" s="46" t="s">
        <v>145</v>
      </c>
      <c r="D330" s="46" t="s">
        <v>114</v>
      </c>
      <c r="E330" s="7" t="str">
        <f aca="false">IF(C330="","",IFERROR(INDEX(cl_Regiao,MATCH(C330,cl_Nome,0)),""))</f>
        <v>Norte</v>
      </c>
      <c r="F330" s="46" t="s">
        <v>128</v>
      </c>
      <c r="G330" s="46" t="s">
        <v>361</v>
      </c>
      <c r="H330" s="47" t="n">
        <v>42400</v>
      </c>
      <c r="I330" s="48" t="n">
        <f aca="false">IF(G330="","",IFERROR(INDEX(pr_Prob,MATCH(G330,pr_Etapa,0)),0))</f>
        <v>0.1</v>
      </c>
      <c r="J330" s="49" t="n">
        <f aca="false">IF(H330="","",H330*I330)</f>
        <v>4240</v>
      </c>
      <c r="K330" s="45" t="n">
        <v>46388</v>
      </c>
      <c r="L330" s="45"/>
      <c r="M330" s="50" t="str">
        <f aca="false">IF(G330="","",IF(G330="Fechado ganho","Ganha",IF(G330="Fechado perdido","Perdida","Aberta")))</f>
        <v>Aberta</v>
      </c>
      <c r="N330" s="51" t="n">
        <f aca="false">IF(B330="","",IF(M330="Aberta",DataRef-B330,IF(L330="","",L330-B330)))</f>
        <v>26</v>
      </c>
      <c r="O330" s="50" t="str">
        <f aca="false">IF(M330&lt;&gt;"Aberta","",IF(AND(K330&lt;&gt;"",K330&lt;DataRef),"Previsão vencida",IF(N330&gt;DiasParada,"Parada","")))</f>
        <v/>
      </c>
    </row>
    <row r="331" customFormat="false" ht="15" hidden="false" customHeight="false" outlineLevel="0" collapsed="false">
      <c r="A331" s="44" t="s">
        <v>481</v>
      </c>
      <c r="B331" s="45" t="n">
        <v>46287</v>
      </c>
      <c r="C331" s="46" t="s">
        <v>182</v>
      </c>
      <c r="D331" s="46" t="s">
        <v>109</v>
      </c>
      <c r="E331" s="7" t="str">
        <f aca="false">IF(C331="","",IFERROR(INDEX(cl_Regiao,MATCH(C331,cl_Nome,0)),""))</f>
        <v>Sudeste</v>
      </c>
      <c r="F331" s="46" t="s">
        <v>110</v>
      </c>
      <c r="G331" s="46" t="s">
        <v>224</v>
      </c>
      <c r="H331" s="47" t="n">
        <v>2300</v>
      </c>
      <c r="I331" s="48" t="n">
        <f aca="false">IF(G331="","",IFERROR(INDEX(pr_Prob,MATCH(G331,pr_Etapa,0)),0))</f>
        <v>0.25</v>
      </c>
      <c r="J331" s="49" t="n">
        <f aca="false">IF(H331="","",H331*I331)</f>
        <v>575</v>
      </c>
      <c r="K331" s="45" t="n">
        <v>46359</v>
      </c>
      <c r="L331" s="45"/>
      <c r="M331" s="50" t="str">
        <f aca="false">IF(G331="","",IF(G331="Fechado ganho","Ganha",IF(G331="Fechado perdido","Perdida","Aberta")))</f>
        <v>Aberta</v>
      </c>
      <c r="N331" s="51" t="n">
        <f aca="false">IF(B331="","",IF(M331="Aberta",DataRef-B331,IF(L331="","",L331-B331)))</f>
        <v>21</v>
      </c>
      <c r="O331" s="50" t="str">
        <f aca="false">IF(M331&lt;&gt;"Aberta","",IF(AND(K331&lt;&gt;"",K331&lt;DataRef),"Previsão vencida",IF(N331&gt;DiasParada,"Parada","")))</f>
        <v/>
      </c>
    </row>
    <row r="332" customFormat="false" ht="15" hidden="false" customHeight="false" outlineLevel="0" collapsed="false">
      <c r="A332" s="44" t="s">
        <v>482</v>
      </c>
      <c r="B332" s="45" t="n">
        <v>46287</v>
      </c>
      <c r="C332" s="46" t="s">
        <v>133</v>
      </c>
      <c r="D332" s="46" t="s">
        <v>119</v>
      </c>
      <c r="E332" s="7" t="str">
        <f aca="false">IF(C332="","",IFERROR(INDEX(cl_Regiao,MATCH(C332,cl_Nome,0)),""))</f>
        <v>Sudeste</v>
      </c>
      <c r="F332" s="46" t="s">
        <v>122</v>
      </c>
      <c r="G332" s="46" t="s">
        <v>224</v>
      </c>
      <c r="H332" s="47" t="n">
        <v>11800</v>
      </c>
      <c r="I332" s="48" t="n">
        <f aca="false">IF(G332="","",IFERROR(INDEX(pr_Prob,MATCH(G332,pr_Etapa,0)),0))</f>
        <v>0.25</v>
      </c>
      <c r="J332" s="49" t="n">
        <f aca="false">IF(H332="","",H332*I332)</f>
        <v>2950</v>
      </c>
      <c r="K332" s="45" t="n">
        <v>46381</v>
      </c>
      <c r="L332" s="45"/>
      <c r="M332" s="50" t="str">
        <f aca="false">IF(G332="","",IF(G332="Fechado ganho","Ganha",IF(G332="Fechado perdido","Perdida","Aberta")))</f>
        <v>Aberta</v>
      </c>
      <c r="N332" s="51" t="n">
        <f aca="false">IF(B332="","",IF(M332="Aberta",DataRef-B332,IF(L332="","",L332-B332)))</f>
        <v>21</v>
      </c>
      <c r="O332" s="50" t="str">
        <f aca="false">IF(M332&lt;&gt;"Aberta","",IF(AND(K332&lt;&gt;"",K332&lt;DataRef),"Previsão vencida",IF(N332&gt;DiasParada,"Parada","")))</f>
        <v/>
      </c>
    </row>
    <row r="333" customFormat="false" ht="15" hidden="false" customHeight="false" outlineLevel="0" collapsed="false">
      <c r="A333" s="44" t="s">
        <v>483</v>
      </c>
      <c r="B333" s="45" t="n">
        <v>46291</v>
      </c>
      <c r="C333" s="46" t="s">
        <v>137</v>
      </c>
      <c r="D333" s="46" t="s">
        <v>114</v>
      </c>
      <c r="E333" s="7" t="str">
        <f aca="false">IF(C333="","",IFERROR(INDEX(cl_Regiao,MATCH(C333,cl_Nome,0)),""))</f>
        <v>Norte</v>
      </c>
      <c r="F333" s="46" t="s">
        <v>110</v>
      </c>
      <c r="G333" s="46" t="s">
        <v>224</v>
      </c>
      <c r="H333" s="47" t="n">
        <v>9500</v>
      </c>
      <c r="I333" s="48" t="n">
        <f aca="false">IF(G333="","",IFERROR(INDEX(pr_Prob,MATCH(G333,pr_Etapa,0)),0))</f>
        <v>0.25</v>
      </c>
      <c r="J333" s="49" t="n">
        <f aca="false">IF(H333="","",H333*I333)</f>
        <v>2375</v>
      </c>
      <c r="K333" s="45" t="n">
        <v>46356</v>
      </c>
      <c r="L333" s="45"/>
      <c r="M333" s="50" t="str">
        <f aca="false">IF(G333="","",IF(G333="Fechado ganho","Ganha",IF(G333="Fechado perdido","Perdida","Aberta")))</f>
        <v>Aberta</v>
      </c>
      <c r="N333" s="51" t="n">
        <f aca="false">IF(B333="","",IF(M333="Aberta",DataRef-B333,IF(L333="","",L333-B333)))</f>
        <v>17</v>
      </c>
      <c r="O333" s="50" t="str">
        <f aca="false">IF(M333&lt;&gt;"Aberta","",IF(AND(K333&lt;&gt;"",K333&lt;DataRef),"Previsão vencida",IF(N333&gt;DiasParada,"Parada","")))</f>
        <v/>
      </c>
    </row>
    <row r="334" customFormat="false" ht="15" hidden="false" customHeight="false" outlineLevel="0" collapsed="false">
      <c r="A334" s="44" t="s">
        <v>484</v>
      </c>
      <c r="B334" s="45" t="n">
        <v>46291</v>
      </c>
      <c r="C334" s="46" t="s">
        <v>182</v>
      </c>
      <c r="D334" s="46" t="s">
        <v>109</v>
      </c>
      <c r="E334" s="7" t="str">
        <f aca="false">IF(C334="","",IFERROR(INDEX(cl_Regiao,MATCH(C334,cl_Nome,0)),""))</f>
        <v>Sudeste</v>
      </c>
      <c r="F334" s="46" t="s">
        <v>110</v>
      </c>
      <c r="G334" s="46" t="s">
        <v>224</v>
      </c>
      <c r="H334" s="47" t="n">
        <v>4800</v>
      </c>
      <c r="I334" s="48" t="n">
        <f aca="false">IF(G334="","",IFERROR(INDEX(pr_Prob,MATCH(G334,pr_Etapa,0)),0))</f>
        <v>0.25</v>
      </c>
      <c r="J334" s="49" t="n">
        <f aca="false">IF(H334="","",H334*I334)</f>
        <v>1200</v>
      </c>
      <c r="K334" s="45" t="n">
        <v>46373</v>
      </c>
      <c r="L334" s="45"/>
      <c r="M334" s="50" t="str">
        <f aca="false">IF(G334="","",IF(G334="Fechado ganho","Ganha",IF(G334="Fechado perdido","Perdida","Aberta")))</f>
        <v>Aberta</v>
      </c>
      <c r="N334" s="51" t="n">
        <f aca="false">IF(B334="","",IF(M334="Aberta",DataRef-B334,IF(L334="","",L334-B334)))</f>
        <v>17</v>
      </c>
      <c r="O334" s="50" t="str">
        <f aca="false">IF(M334&lt;&gt;"Aberta","",IF(AND(K334&lt;&gt;"",K334&lt;DataRef),"Previsão vencida",IF(N334&gt;DiasParada,"Parada","")))</f>
        <v/>
      </c>
    </row>
    <row r="335" customFormat="false" ht="15" hidden="false" customHeight="false" outlineLevel="0" collapsed="false">
      <c r="A335" s="44" t="s">
        <v>485</v>
      </c>
      <c r="B335" s="45" t="n">
        <v>46291</v>
      </c>
      <c r="C335" s="46" t="s">
        <v>158</v>
      </c>
      <c r="D335" s="46" t="s">
        <v>131</v>
      </c>
      <c r="E335" s="7" t="str">
        <f aca="false">IF(C335="","",IFERROR(INDEX(cl_Regiao,MATCH(C335,cl_Nome,0)),""))</f>
        <v>Centro-Oeste</v>
      </c>
      <c r="F335" s="46" t="s">
        <v>122</v>
      </c>
      <c r="G335" s="46" t="s">
        <v>361</v>
      </c>
      <c r="H335" s="47" t="n">
        <v>3800</v>
      </c>
      <c r="I335" s="48" t="n">
        <f aca="false">IF(G335="","",IFERROR(INDEX(pr_Prob,MATCH(G335,pr_Etapa,0)),0))</f>
        <v>0.1</v>
      </c>
      <c r="J335" s="49" t="n">
        <f aca="false">IF(H335="","",H335*I335)</f>
        <v>380</v>
      </c>
      <c r="K335" s="45" t="n">
        <v>46363</v>
      </c>
      <c r="L335" s="45"/>
      <c r="M335" s="50" t="str">
        <f aca="false">IF(G335="","",IF(G335="Fechado ganho","Ganha",IF(G335="Fechado perdido","Perdida","Aberta")))</f>
        <v>Aberta</v>
      </c>
      <c r="N335" s="51" t="n">
        <f aca="false">IF(B335="","",IF(M335="Aberta",DataRef-B335,IF(L335="","",L335-B335)))</f>
        <v>17</v>
      </c>
      <c r="O335" s="50" t="str">
        <f aca="false">IF(M335&lt;&gt;"Aberta","",IF(AND(K335&lt;&gt;"",K335&lt;DataRef),"Previsão vencida",IF(N335&gt;DiasParada,"Parada","")))</f>
        <v/>
      </c>
    </row>
    <row r="336" customFormat="false" ht="15" hidden="false" customHeight="false" outlineLevel="0" collapsed="false">
      <c r="A336" s="44" t="s">
        <v>486</v>
      </c>
      <c r="B336" s="45" t="n">
        <v>46292</v>
      </c>
      <c r="C336" s="46" t="s">
        <v>148</v>
      </c>
      <c r="D336" s="46" t="s">
        <v>109</v>
      </c>
      <c r="E336" s="7" t="str">
        <f aca="false">IF(C336="","",IFERROR(INDEX(cl_Regiao,MATCH(C336,cl_Nome,0)),""))</f>
        <v>Sudeste</v>
      </c>
      <c r="F336" s="46" t="s">
        <v>122</v>
      </c>
      <c r="G336" s="46" t="s">
        <v>368</v>
      </c>
      <c r="H336" s="47" t="n">
        <v>12900</v>
      </c>
      <c r="I336" s="48" t="n">
        <f aca="false">IF(G336="","",IFERROR(INDEX(pr_Prob,MATCH(G336,pr_Etapa,0)),0))</f>
        <v>0.75</v>
      </c>
      <c r="J336" s="49" t="n">
        <f aca="false">IF(H336="","",H336*I336)</f>
        <v>9675</v>
      </c>
      <c r="K336" s="45" t="n">
        <v>46379</v>
      </c>
      <c r="L336" s="45"/>
      <c r="M336" s="50" t="str">
        <f aca="false">IF(G336="","",IF(G336="Fechado ganho","Ganha",IF(G336="Fechado perdido","Perdida","Aberta")))</f>
        <v>Aberta</v>
      </c>
      <c r="N336" s="51" t="n">
        <f aca="false">IF(B336="","",IF(M336="Aberta",DataRef-B336,IF(L336="","",L336-B336)))</f>
        <v>16</v>
      </c>
      <c r="O336" s="50" t="str">
        <f aca="false">IF(M336&lt;&gt;"Aberta","",IF(AND(K336&lt;&gt;"",K336&lt;DataRef),"Previsão vencida",IF(N336&gt;DiasParada,"Parada","")))</f>
        <v/>
      </c>
    </row>
    <row r="337" customFormat="false" ht="15" hidden="false" customHeight="false" outlineLevel="0" collapsed="false">
      <c r="A337" s="44" t="s">
        <v>487</v>
      </c>
      <c r="B337" s="45" t="n">
        <v>46295</v>
      </c>
      <c r="C337" s="46" t="s">
        <v>171</v>
      </c>
      <c r="D337" s="46" t="s">
        <v>165</v>
      </c>
      <c r="E337" s="7" t="str">
        <f aca="false">IF(C337="","",IFERROR(INDEX(cl_Regiao,MATCH(C337,cl_Nome,0)),""))</f>
        <v>Nordeste</v>
      </c>
      <c r="F337" s="46" t="s">
        <v>115</v>
      </c>
      <c r="G337" s="46" t="s">
        <v>124</v>
      </c>
      <c r="H337" s="47" t="n">
        <v>44800</v>
      </c>
      <c r="I337" s="48" t="n">
        <f aca="false">IF(G337="","",IFERROR(INDEX(pr_Prob,MATCH(G337,pr_Etapa,0)),0))</f>
        <v>0.5</v>
      </c>
      <c r="J337" s="49" t="n">
        <f aca="false">IF(H337="","",H337*I337)</f>
        <v>22400</v>
      </c>
      <c r="K337" s="45" t="n">
        <v>46357</v>
      </c>
      <c r="L337" s="45"/>
      <c r="M337" s="50" t="str">
        <f aca="false">IF(G337="","",IF(G337="Fechado ganho","Ganha",IF(G337="Fechado perdido","Perdida","Aberta")))</f>
        <v>Aberta</v>
      </c>
      <c r="N337" s="51" t="n">
        <f aca="false">IF(B337="","",IF(M337="Aberta",DataRef-B337,IF(L337="","",L337-B337)))</f>
        <v>13</v>
      </c>
      <c r="O337" s="50" t="str">
        <f aca="false">IF(M337&lt;&gt;"Aberta","",IF(AND(K337&lt;&gt;"",K337&lt;DataRef),"Previsão vencida",IF(N337&gt;DiasParada,"Parada","")))</f>
        <v/>
      </c>
    </row>
    <row r="338" customFormat="false" ht="15" hidden="false" customHeight="false" outlineLevel="0" collapsed="false">
      <c r="A338" s="44" t="s">
        <v>488</v>
      </c>
      <c r="B338" s="45" t="n">
        <v>46295</v>
      </c>
      <c r="C338" s="46" t="s">
        <v>236</v>
      </c>
      <c r="D338" s="46" t="s">
        <v>165</v>
      </c>
      <c r="E338" s="7" t="str">
        <f aca="false">IF(C338="","",IFERROR(INDEX(cl_Regiao,MATCH(C338,cl_Nome,0)),""))</f>
        <v>Nordeste</v>
      </c>
      <c r="F338" s="46" t="s">
        <v>110</v>
      </c>
      <c r="G338" s="46" t="s">
        <v>361</v>
      </c>
      <c r="H338" s="47" t="n">
        <v>8100</v>
      </c>
      <c r="I338" s="48" t="n">
        <f aca="false">IF(G338="","",IFERROR(INDEX(pr_Prob,MATCH(G338,pr_Etapa,0)),0))</f>
        <v>0.1</v>
      </c>
      <c r="J338" s="49" t="n">
        <f aca="false">IF(H338="","",H338*I338)</f>
        <v>810</v>
      </c>
      <c r="K338" s="45" t="n">
        <v>46333</v>
      </c>
      <c r="L338" s="45"/>
      <c r="M338" s="50" t="str">
        <f aca="false">IF(G338="","",IF(G338="Fechado ganho","Ganha",IF(G338="Fechado perdido","Perdida","Aberta")))</f>
        <v>Aberta</v>
      </c>
      <c r="N338" s="51" t="n">
        <f aca="false">IF(B338="","",IF(M338="Aberta",DataRef-B338,IF(L338="","",L338-B338)))</f>
        <v>13</v>
      </c>
      <c r="O338" s="50" t="str">
        <f aca="false">IF(M338&lt;&gt;"Aberta","",IF(AND(K338&lt;&gt;"",K338&lt;DataRef),"Previsão vencida",IF(N338&gt;DiasParada,"Parada","")))</f>
        <v/>
      </c>
    </row>
    <row r="339" customFormat="false" ht="15" hidden="false" customHeight="false" outlineLevel="0" collapsed="false">
      <c r="A339" s="44" t="s">
        <v>489</v>
      </c>
      <c r="B339" s="45" t="n">
        <v>46295</v>
      </c>
      <c r="C339" s="46" t="s">
        <v>126</v>
      </c>
      <c r="D339" s="46" t="s">
        <v>127</v>
      </c>
      <c r="E339" s="7" t="str">
        <f aca="false">IF(C339="","",IFERROR(INDEX(cl_Regiao,MATCH(C339,cl_Nome,0)),""))</f>
        <v>Sul</v>
      </c>
      <c r="F339" s="46" t="s">
        <v>115</v>
      </c>
      <c r="G339" s="46" t="s">
        <v>124</v>
      </c>
      <c r="H339" s="47" t="n">
        <v>76900</v>
      </c>
      <c r="I339" s="48" t="n">
        <f aca="false">IF(G339="","",IFERROR(INDEX(pr_Prob,MATCH(G339,pr_Etapa,0)),0))</f>
        <v>0.5</v>
      </c>
      <c r="J339" s="49" t="n">
        <f aca="false">IF(H339="","",H339*I339)</f>
        <v>38450</v>
      </c>
      <c r="K339" s="45" t="n">
        <v>46375</v>
      </c>
      <c r="L339" s="45"/>
      <c r="M339" s="50" t="str">
        <f aca="false">IF(G339="","",IF(G339="Fechado ganho","Ganha",IF(G339="Fechado perdido","Perdida","Aberta")))</f>
        <v>Aberta</v>
      </c>
      <c r="N339" s="51" t="n">
        <f aca="false">IF(B339="","",IF(M339="Aberta",DataRef-B339,IF(L339="","",L339-B339)))</f>
        <v>13</v>
      </c>
      <c r="O339" s="50" t="str">
        <f aca="false">IF(M339&lt;&gt;"Aberta","",IF(AND(K339&lt;&gt;"",K339&lt;DataRef),"Previsão vencida",IF(N339&gt;DiasParada,"Parada","")))</f>
        <v/>
      </c>
    </row>
    <row r="340" customFormat="false" ht="15" hidden="false" customHeight="false" outlineLevel="0" collapsed="false">
      <c r="A340" s="44" t="s">
        <v>490</v>
      </c>
      <c r="B340" s="45" t="n">
        <v>46297</v>
      </c>
      <c r="C340" s="46" t="s">
        <v>164</v>
      </c>
      <c r="D340" s="46" t="s">
        <v>165</v>
      </c>
      <c r="E340" s="7" t="str">
        <f aca="false">IF(C340="","",IFERROR(INDEX(cl_Regiao,MATCH(C340,cl_Nome,0)),""))</f>
        <v>Nordeste</v>
      </c>
      <c r="F340" s="46" t="s">
        <v>122</v>
      </c>
      <c r="G340" s="46" t="s">
        <v>368</v>
      </c>
      <c r="H340" s="47" t="n">
        <v>12100</v>
      </c>
      <c r="I340" s="48" t="n">
        <f aca="false">IF(G340="","",IFERROR(INDEX(pr_Prob,MATCH(G340,pr_Etapa,0)),0))</f>
        <v>0.75</v>
      </c>
      <c r="J340" s="49" t="n">
        <f aca="false">IF(H340="","",H340*I340)</f>
        <v>9075</v>
      </c>
      <c r="K340" s="45" t="n">
        <v>46373</v>
      </c>
      <c r="L340" s="45"/>
      <c r="M340" s="50" t="str">
        <f aca="false">IF(G340="","",IF(G340="Fechado ganho","Ganha",IF(G340="Fechado perdido","Perdida","Aberta")))</f>
        <v>Aberta</v>
      </c>
      <c r="N340" s="51" t="n">
        <f aca="false">IF(B340="","",IF(M340="Aberta",DataRef-B340,IF(L340="","",L340-B340)))</f>
        <v>11</v>
      </c>
      <c r="O340" s="50" t="str">
        <f aca="false">IF(M340&lt;&gt;"Aberta","",IF(AND(K340&lt;&gt;"",K340&lt;DataRef),"Previsão vencida",IF(N340&gt;DiasParada,"Parada","")))</f>
        <v/>
      </c>
    </row>
    <row r="341" customFormat="false" ht="15" hidden="false" customHeight="false" outlineLevel="0" collapsed="false">
      <c r="A341" s="44" t="s">
        <v>491</v>
      </c>
      <c r="B341" s="45" t="n">
        <v>46298</v>
      </c>
      <c r="C341" s="46" t="s">
        <v>145</v>
      </c>
      <c r="D341" s="46" t="s">
        <v>114</v>
      </c>
      <c r="E341" s="7" t="str">
        <f aca="false">IF(C341="","",IFERROR(INDEX(cl_Regiao,MATCH(C341,cl_Nome,0)),""))</f>
        <v>Norte</v>
      </c>
      <c r="F341" s="46" t="s">
        <v>115</v>
      </c>
      <c r="G341" s="46" t="s">
        <v>368</v>
      </c>
      <c r="H341" s="47" t="n">
        <v>69200</v>
      </c>
      <c r="I341" s="48" t="n">
        <f aca="false">IF(G341="","",IFERROR(INDEX(pr_Prob,MATCH(G341,pr_Etapa,0)),0))</f>
        <v>0.75</v>
      </c>
      <c r="J341" s="49" t="n">
        <f aca="false">IF(H341="","",H341*I341)</f>
        <v>51900</v>
      </c>
      <c r="K341" s="45" t="n">
        <v>46409</v>
      </c>
      <c r="L341" s="45"/>
      <c r="M341" s="50" t="str">
        <f aca="false">IF(G341="","",IF(G341="Fechado ganho","Ganha",IF(G341="Fechado perdido","Perdida","Aberta")))</f>
        <v>Aberta</v>
      </c>
      <c r="N341" s="51" t="n">
        <f aca="false">IF(B341="","",IF(M341="Aberta",DataRef-B341,IF(L341="","",L341-B341)))</f>
        <v>10</v>
      </c>
      <c r="O341" s="50" t="str">
        <f aca="false">IF(M341&lt;&gt;"Aberta","",IF(AND(K341&lt;&gt;"",K341&lt;DataRef),"Previsão vencida",IF(N341&gt;DiasParada,"Parada","")))</f>
        <v/>
      </c>
    </row>
    <row r="342" customFormat="false" ht="15" hidden="false" customHeight="false" outlineLevel="0" collapsed="false">
      <c r="A342" s="44" t="s">
        <v>492</v>
      </c>
      <c r="B342" s="45" t="n">
        <v>46298</v>
      </c>
      <c r="C342" s="46" t="s">
        <v>141</v>
      </c>
      <c r="D342" s="46" t="s">
        <v>109</v>
      </c>
      <c r="E342" s="7" t="str">
        <f aca="false">IF(C342="","",IFERROR(INDEX(cl_Regiao,MATCH(C342,cl_Nome,0)),""))</f>
        <v>Sudeste</v>
      </c>
      <c r="F342" s="46" t="s">
        <v>128</v>
      </c>
      <c r="G342" s="46" t="s">
        <v>224</v>
      </c>
      <c r="H342" s="47" t="n">
        <v>47500</v>
      </c>
      <c r="I342" s="48" t="n">
        <f aca="false">IF(G342="","",IFERROR(INDEX(pr_Prob,MATCH(G342,pr_Etapa,0)),0))</f>
        <v>0.25</v>
      </c>
      <c r="J342" s="49" t="n">
        <f aca="false">IF(H342="","",H342*I342)</f>
        <v>11875</v>
      </c>
      <c r="K342" s="45" t="n">
        <v>46398</v>
      </c>
      <c r="L342" s="45"/>
      <c r="M342" s="50" t="str">
        <f aca="false">IF(G342="","",IF(G342="Fechado ganho","Ganha",IF(G342="Fechado perdido","Perdida","Aberta")))</f>
        <v>Aberta</v>
      </c>
      <c r="N342" s="51" t="n">
        <f aca="false">IF(B342="","",IF(M342="Aberta",DataRef-B342,IF(L342="","",L342-B342)))</f>
        <v>10</v>
      </c>
      <c r="O342" s="50" t="str">
        <f aca="false">IF(M342&lt;&gt;"Aberta","",IF(AND(K342&lt;&gt;"",K342&lt;DataRef),"Previsão vencida",IF(N342&gt;DiasParada,"Parada","")))</f>
        <v/>
      </c>
    </row>
    <row r="343" customFormat="false" ht="15" hidden="false" customHeight="false" outlineLevel="0" collapsed="false">
      <c r="A343" s="44" t="s">
        <v>493</v>
      </c>
      <c r="B343" s="45" t="n">
        <v>46299</v>
      </c>
      <c r="C343" s="46" t="s">
        <v>207</v>
      </c>
      <c r="D343" s="46" t="s">
        <v>165</v>
      </c>
      <c r="E343" s="7" t="str">
        <f aca="false">IF(C343="","",IFERROR(INDEX(cl_Regiao,MATCH(C343,cl_Nome,0)),""))</f>
        <v>Nordeste</v>
      </c>
      <c r="F343" s="46" t="s">
        <v>128</v>
      </c>
      <c r="G343" s="46" t="s">
        <v>224</v>
      </c>
      <c r="H343" s="47" t="n">
        <v>30700</v>
      </c>
      <c r="I343" s="48" t="n">
        <f aca="false">IF(G343="","",IFERROR(INDEX(pr_Prob,MATCH(G343,pr_Etapa,0)),0))</f>
        <v>0.25</v>
      </c>
      <c r="J343" s="49" t="n">
        <f aca="false">IF(H343="","",H343*I343)</f>
        <v>7675</v>
      </c>
      <c r="K343" s="45" t="n">
        <v>46411</v>
      </c>
      <c r="L343" s="45"/>
      <c r="M343" s="50" t="str">
        <f aca="false">IF(G343="","",IF(G343="Fechado ganho","Ganha",IF(G343="Fechado perdido","Perdida","Aberta")))</f>
        <v>Aberta</v>
      </c>
      <c r="N343" s="51" t="n">
        <f aca="false">IF(B343="","",IF(M343="Aberta",DataRef-B343,IF(L343="","",L343-B343)))</f>
        <v>9</v>
      </c>
      <c r="O343" s="50" t="str">
        <f aca="false">IF(M343&lt;&gt;"Aberta","",IF(AND(K343&lt;&gt;"",K343&lt;DataRef),"Previsão vencida",IF(N343&gt;DiasParada,"Parada","")))</f>
        <v/>
      </c>
    </row>
    <row r="344" customFormat="false" ht="15" hidden="false" customHeight="false" outlineLevel="0" collapsed="false">
      <c r="A344" s="44" t="s">
        <v>494</v>
      </c>
      <c r="B344" s="45" t="n">
        <v>46301</v>
      </c>
      <c r="C344" s="46" t="s">
        <v>162</v>
      </c>
      <c r="D344" s="46" t="s">
        <v>131</v>
      </c>
      <c r="E344" s="7" t="str">
        <f aca="false">IF(C344="","",IFERROR(INDEX(cl_Regiao,MATCH(C344,cl_Nome,0)),""))</f>
        <v>Centro-Oeste</v>
      </c>
      <c r="F344" s="46" t="s">
        <v>122</v>
      </c>
      <c r="G344" s="46" t="s">
        <v>224</v>
      </c>
      <c r="H344" s="47" t="n">
        <v>12500</v>
      </c>
      <c r="I344" s="48" t="n">
        <f aca="false">IF(G344="","",IFERROR(INDEX(pr_Prob,MATCH(G344,pr_Etapa,0)),0))</f>
        <v>0.25</v>
      </c>
      <c r="J344" s="49" t="n">
        <f aca="false">IF(H344="","",H344*I344)</f>
        <v>3125</v>
      </c>
      <c r="K344" s="45" t="n">
        <v>46361</v>
      </c>
      <c r="L344" s="45"/>
      <c r="M344" s="50" t="str">
        <f aca="false">IF(G344="","",IF(G344="Fechado ganho","Ganha",IF(G344="Fechado perdido","Perdida","Aberta")))</f>
        <v>Aberta</v>
      </c>
      <c r="N344" s="51" t="n">
        <f aca="false">IF(B344="","",IF(M344="Aberta",DataRef-B344,IF(L344="","",L344-B344)))</f>
        <v>7</v>
      </c>
      <c r="O344" s="50" t="str">
        <f aca="false">IF(M344&lt;&gt;"Aberta","",IF(AND(K344&lt;&gt;"",K344&lt;DataRef),"Previsão vencida",IF(N344&gt;DiasParada,"Parada","")))</f>
        <v/>
      </c>
    </row>
    <row r="345" customFormat="false" ht="15" hidden="false" customHeight="false" outlineLevel="0" collapsed="false">
      <c r="A345" s="44" t="s">
        <v>495</v>
      </c>
      <c r="B345" s="45" t="n">
        <v>46301</v>
      </c>
      <c r="C345" s="46" t="s">
        <v>201</v>
      </c>
      <c r="D345" s="46" t="s">
        <v>127</v>
      </c>
      <c r="E345" s="7" t="str">
        <f aca="false">IF(C345="","",IFERROR(INDEX(cl_Regiao,MATCH(C345,cl_Nome,0)),""))</f>
        <v>Sul</v>
      </c>
      <c r="F345" s="46" t="s">
        <v>115</v>
      </c>
      <c r="G345" s="46" t="s">
        <v>361</v>
      </c>
      <c r="H345" s="47" t="n">
        <v>26200</v>
      </c>
      <c r="I345" s="48" t="n">
        <f aca="false">IF(G345="","",IFERROR(INDEX(pr_Prob,MATCH(G345,pr_Etapa,0)),0))</f>
        <v>0.1</v>
      </c>
      <c r="J345" s="49" t="n">
        <f aca="false">IF(H345="","",H345*I345)</f>
        <v>2620</v>
      </c>
      <c r="K345" s="45" t="n">
        <v>46409</v>
      </c>
      <c r="L345" s="45"/>
      <c r="M345" s="50" t="str">
        <f aca="false">IF(G345="","",IF(G345="Fechado ganho","Ganha",IF(G345="Fechado perdido","Perdida","Aberta")))</f>
        <v>Aberta</v>
      </c>
      <c r="N345" s="51" t="n">
        <f aca="false">IF(B345="","",IF(M345="Aberta",DataRef-B345,IF(L345="","",L345-B345)))</f>
        <v>7</v>
      </c>
      <c r="O345" s="50" t="str">
        <f aca="false">IF(M345&lt;&gt;"Aberta","",IF(AND(K345&lt;&gt;"",K345&lt;DataRef),"Previsão vencida",IF(N345&gt;DiasParada,"Parada","")))</f>
        <v/>
      </c>
    </row>
    <row r="346" customFormat="false" ht="15" hidden="false" customHeight="false" outlineLevel="0" collapsed="false">
      <c r="A346" s="44" t="s">
        <v>496</v>
      </c>
      <c r="B346" s="45" t="n">
        <v>46303</v>
      </c>
      <c r="C346" s="46" t="s">
        <v>155</v>
      </c>
      <c r="D346" s="46" t="s">
        <v>127</v>
      </c>
      <c r="E346" s="7" t="str">
        <f aca="false">IF(C346="","",IFERROR(INDEX(cl_Regiao,MATCH(C346,cl_Nome,0)),""))</f>
        <v>Sul</v>
      </c>
      <c r="F346" s="46" t="s">
        <v>128</v>
      </c>
      <c r="G346" s="46" t="s">
        <v>124</v>
      </c>
      <c r="H346" s="47" t="n">
        <v>5200</v>
      </c>
      <c r="I346" s="48" t="n">
        <f aca="false">IF(G346="","",IFERROR(INDEX(pr_Prob,MATCH(G346,pr_Etapa,0)),0))</f>
        <v>0.5</v>
      </c>
      <c r="J346" s="49" t="n">
        <f aca="false">IF(H346="","",H346*I346)</f>
        <v>2600</v>
      </c>
      <c r="K346" s="45" t="n">
        <v>46410</v>
      </c>
      <c r="L346" s="45"/>
      <c r="M346" s="50" t="str">
        <f aca="false">IF(G346="","",IF(G346="Fechado ganho","Ganha",IF(G346="Fechado perdido","Perdida","Aberta")))</f>
        <v>Aberta</v>
      </c>
      <c r="N346" s="51" t="n">
        <f aca="false">IF(B346="","",IF(M346="Aberta",DataRef-B346,IF(L346="","",L346-B346)))</f>
        <v>5</v>
      </c>
      <c r="O346" s="50" t="str">
        <f aca="false">IF(M346&lt;&gt;"Aberta","",IF(AND(K346&lt;&gt;"",K346&lt;DataRef),"Previsão vencida",IF(N346&gt;DiasParada,"Parada","")))</f>
        <v/>
      </c>
    </row>
    <row r="347" customFormat="false" ht="15" hidden="false" customHeight="false" outlineLevel="0" collapsed="false">
      <c r="A347" s="44"/>
      <c r="B347" s="45"/>
      <c r="C347" s="46"/>
      <c r="D347" s="46"/>
      <c r="E347" s="7" t="str">
        <f aca="false">IF(C347="","",IFERROR(INDEX(cl_Regiao,MATCH(C347,cl_Nome,0)),""))</f>
        <v/>
      </c>
      <c r="F347" s="46"/>
      <c r="G347" s="46"/>
      <c r="H347" s="47"/>
      <c r="I347" s="48" t="str">
        <f aca="false">IF(G347="","",IFERROR(INDEX(pr_Prob,MATCH(G347,pr_Etapa,0)),0))</f>
        <v/>
      </c>
      <c r="J347" s="49" t="str">
        <f aca="false">IF(H347="","",H347*I347)</f>
        <v/>
      </c>
      <c r="K347" s="45"/>
      <c r="L347" s="45"/>
      <c r="M347" s="50" t="str">
        <f aca="false">IF(G347="","",IF(G347="Fechado ganho","Ganha",IF(G347="Fechado perdido","Perdida","Aberta")))</f>
        <v/>
      </c>
      <c r="N347" s="51" t="str">
        <f aca="false">IF(B347="","",IF(M347="Aberta",DataRef-B347,IF(L347="","",L347-B347)))</f>
        <v/>
      </c>
      <c r="O347" s="50" t="str">
        <f aca="false">IF(M347&lt;&gt;"Aberta","",IF(AND(K347&lt;&gt;"",K347&lt;DataRef),"Previsão vencida",IF(N347&gt;DiasParada,"Parada","")))</f>
        <v/>
      </c>
    </row>
    <row r="348" customFormat="false" ht="15" hidden="false" customHeight="false" outlineLevel="0" collapsed="false">
      <c r="A348" s="44"/>
      <c r="B348" s="45"/>
      <c r="C348" s="46"/>
      <c r="D348" s="46"/>
      <c r="E348" s="7" t="str">
        <f aca="false">IF(C348="","",IFERROR(INDEX(cl_Regiao,MATCH(C348,cl_Nome,0)),""))</f>
        <v/>
      </c>
      <c r="F348" s="46"/>
      <c r="G348" s="46"/>
      <c r="H348" s="47"/>
      <c r="I348" s="48" t="str">
        <f aca="false">IF(G348="","",IFERROR(INDEX(pr_Prob,MATCH(G348,pr_Etapa,0)),0))</f>
        <v/>
      </c>
      <c r="J348" s="49" t="str">
        <f aca="false">IF(H348="","",H348*I348)</f>
        <v/>
      </c>
      <c r="K348" s="45"/>
      <c r="L348" s="45"/>
      <c r="M348" s="50" t="str">
        <f aca="false">IF(G348="","",IF(G348="Fechado ganho","Ganha",IF(G348="Fechado perdido","Perdida","Aberta")))</f>
        <v/>
      </c>
      <c r="N348" s="51" t="str">
        <f aca="false">IF(B348="","",IF(M348="Aberta",DataRef-B348,IF(L348="","",L348-B348)))</f>
        <v/>
      </c>
      <c r="O348" s="50" t="str">
        <f aca="false">IF(M348&lt;&gt;"Aberta","",IF(AND(K348&lt;&gt;"",K348&lt;DataRef),"Previsão vencida",IF(N348&gt;DiasParada,"Parada","")))</f>
        <v/>
      </c>
    </row>
    <row r="349" customFormat="false" ht="15" hidden="false" customHeight="false" outlineLevel="0" collapsed="false">
      <c r="A349" s="44"/>
      <c r="B349" s="45"/>
      <c r="C349" s="46"/>
      <c r="D349" s="46"/>
      <c r="E349" s="7" t="str">
        <f aca="false">IF(C349="","",IFERROR(INDEX(cl_Regiao,MATCH(C349,cl_Nome,0)),""))</f>
        <v/>
      </c>
      <c r="F349" s="46"/>
      <c r="G349" s="46"/>
      <c r="H349" s="47"/>
      <c r="I349" s="48" t="str">
        <f aca="false">IF(G349="","",IFERROR(INDEX(pr_Prob,MATCH(G349,pr_Etapa,0)),0))</f>
        <v/>
      </c>
      <c r="J349" s="49" t="str">
        <f aca="false">IF(H349="","",H349*I349)</f>
        <v/>
      </c>
      <c r="K349" s="45"/>
      <c r="L349" s="45"/>
      <c r="M349" s="50" t="str">
        <f aca="false">IF(G349="","",IF(G349="Fechado ganho","Ganha",IF(G349="Fechado perdido","Perdida","Aberta")))</f>
        <v/>
      </c>
      <c r="N349" s="51" t="str">
        <f aca="false">IF(B349="","",IF(M349="Aberta",DataRef-B349,IF(L349="","",L349-B349)))</f>
        <v/>
      </c>
      <c r="O349" s="50" t="str">
        <f aca="false">IF(M349&lt;&gt;"Aberta","",IF(AND(K349&lt;&gt;"",K349&lt;DataRef),"Previsão vencida",IF(N349&gt;DiasParada,"Parada","")))</f>
        <v/>
      </c>
    </row>
    <row r="350" customFormat="false" ht="15" hidden="false" customHeight="false" outlineLevel="0" collapsed="false">
      <c r="A350" s="44"/>
      <c r="B350" s="45"/>
      <c r="C350" s="46"/>
      <c r="D350" s="46"/>
      <c r="E350" s="7" t="str">
        <f aca="false">IF(C350="","",IFERROR(INDEX(cl_Regiao,MATCH(C350,cl_Nome,0)),""))</f>
        <v/>
      </c>
      <c r="F350" s="46"/>
      <c r="G350" s="46"/>
      <c r="H350" s="47"/>
      <c r="I350" s="48" t="str">
        <f aca="false">IF(G350="","",IFERROR(INDEX(pr_Prob,MATCH(G350,pr_Etapa,0)),0))</f>
        <v/>
      </c>
      <c r="J350" s="49" t="str">
        <f aca="false">IF(H350="","",H350*I350)</f>
        <v/>
      </c>
      <c r="K350" s="45"/>
      <c r="L350" s="45"/>
      <c r="M350" s="50" t="str">
        <f aca="false">IF(G350="","",IF(G350="Fechado ganho","Ganha",IF(G350="Fechado perdido","Perdida","Aberta")))</f>
        <v/>
      </c>
      <c r="N350" s="51" t="str">
        <f aca="false">IF(B350="","",IF(M350="Aberta",DataRef-B350,IF(L350="","",L350-B350)))</f>
        <v/>
      </c>
      <c r="O350" s="50" t="str">
        <f aca="false">IF(M350&lt;&gt;"Aberta","",IF(AND(K350&lt;&gt;"",K350&lt;DataRef),"Previsão vencida",IF(N350&gt;DiasParada,"Parada","")))</f>
        <v/>
      </c>
    </row>
    <row r="351" customFormat="false" ht="15" hidden="false" customHeight="false" outlineLevel="0" collapsed="false">
      <c r="A351" s="44"/>
      <c r="B351" s="45"/>
      <c r="C351" s="46"/>
      <c r="D351" s="46"/>
      <c r="E351" s="7" t="str">
        <f aca="false">IF(C351="","",IFERROR(INDEX(cl_Regiao,MATCH(C351,cl_Nome,0)),""))</f>
        <v/>
      </c>
      <c r="F351" s="46"/>
      <c r="G351" s="46"/>
      <c r="H351" s="47"/>
      <c r="I351" s="48" t="str">
        <f aca="false">IF(G351="","",IFERROR(INDEX(pr_Prob,MATCH(G351,pr_Etapa,0)),0))</f>
        <v/>
      </c>
      <c r="J351" s="49" t="str">
        <f aca="false">IF(H351="","",H351*I351)</f>
        <v/>
      </c>
      <c r="K351" s="45"/>
      <c r="L351" s="45"/>
      <c r="M351" s="50" t="str">
        <f aca="false">IF(G351="","",IF(G351="Fechado ganho","Ganha",IF(G351="Fechado perdido","Perdida","Aberta")))</f>
        <v/>
      </c>
      <c r="N351" s="51" t="str">
        <f aca="false">IF(B351="","",IF(M351="Aberta",DataRef-B351,IF(L351="","",L351-B351)))</f>
        <v/>
      </c>
      <c r="O351" s="50" t="str">
        <f aca="false">IF(M351&lt;&gt;"Aberta","",IF(AND(K351&lt;&gt;"",K351&lt;DataRef),"Previsão vencida",IF(N351&gt;DiasParada,"Parada","")))</f>
        <v/>
      </c>
    </row>
    <row r="352" customFormat="false" ht="15" hidden="false" customHeight="false" outlineLevel="0" collapsed="false">
      <c r="A352" s="44"/>
      <c r="B352" s="45"/>
      <c r="C352" s="46"/>
      <c r="D352" s="46"/>
      <c r="E352" s="7" t="str">
        <f aca="false">IF(C352="","",IFERROR(INDEX(cl_Regiao,MATCH(C352,cl_Nome,0)),""))</f>
        <v/>
      </c>
      <c r="F352" s="46"/>
      <c r="G352" s="46"/>
      <c r="H352" s="47"/>
      <c r="I352" s="48" t="str">
        <f aca="false">IF(G352="","",IFERROR(INDEX(pr_Prob,MATCH(G352,pr_Etapa,0)),0))</f>
        <v/>
      </c>
      <c r="J352" s="49" t="str">
        <f aca="false">IF(H352="","",H352*I352)</f>
        <v/>
      </c>
      <c r="K352" s="45"/>
      <c r="L352" s="45"/>
      <c r="M352" s="50" t="str">
        <f aca="false">IF(G352="","",IF(G352="Fechado ganho","Ganha",IF(G352="Fechado perdido","Perdida","Aberta")))</f>
        <v/>
      </c>
      <c r="N352" s="51" t="str">
        <f aca="false">IF(B352="","",IF(M352="Aberta",DataRef-B352,IF(L352="","",L352-B352)))</f>
        <v/>
      </c>
      <c r="O352" s="50" t="str">
        <f aca="false">IF(M352&lt;&gt;"Aberta","",IF(AND(K352&lt;&gt;"",K352&lt;DataRef),"Previsão vencida",IF(N352&gt;DiasParada,"Parada","")))</f>
        <v/>
      </c>
    </row>
    <row r="353" customFormat="false" ht="15" hidden="false" customHeight="false" outlineLevel="0" collapsed="false">
      <c r="A353" s="44"/>
      <c r="B353" s="45"/>
      <c r="C353" s="46"/>
      <c r="D353" s="46"/>
      <c r="E353" s="7" t="str">
        <f aca="false">IF(C353="","",IFERROR(INDEX(cl_Regiao,MATCH(C353,cl_Nome,0)),""))</f>
        <v/>
      </c>
      <c r="F353" s="46"/>
      <c r="G353" s="46"/>
      <c r="H353" s="47"/>
      <c r="I353" s="48" t="str">
        <f aca="false">IF(G353="","",IFERROR(INDEX(pr_Prob,MATCH(G353,pr_Etapa,0)),0))</f>
        <v/>
      </c>
      <c r="J353" s="49" t="str">
        <f aca="false">IF(H353="","",H353*I353)</f>
        <v/>
      </c>
      <c r="K353" s="45"/>
      <c r="L353" s="45"/>
      <c r="M353" s="50" t="str">
        <f aca="false">IF(G353="","",IF(G353="Fechado ganho","Ganha",IF(G353="Fechado perdido","Perdida","Aberta")))</f>
        <v/>
      </c>
      <c r="N353" s="51" t="str">
        <f aca="false">IF(B353="","",IF(M353="Aberta",DataRef-B353,IF(L353="","",L353-B353)))</f>
        <v/>
      </c>
      <c r="O353" s="50" t="str">
        <f aca="false">IF(M353&lt;&gt;"Aberta","",IF(AND(K353&lt;&gt;"",K353&lt;DataRef),"Previsão vencida",IF(N353&gt;DiasParada,"Parada","")))</f>
        <v/>
      </c>
    </row>
    <row r="354" customFormat="false" ht="15" hidden="false" customHeight="false" outlineLevel="0" collapsed="false">
      <c r="A354" s="44"/>
      <c r="B354" s="45"/>
      <c r="C354" s="46"/>
      <c r="D354" s="46"/>
      <c r="E354" s="7" t="str">
        <f aca="false">IF(C354="","",IFERROR(INDEX(cl_Regiao,MATCH(C354,cl_Nome,0)),""))</f>
        <v/>
      </c>
      <c r="F354" s="46"/>
      <c r="G354" s="46"/>
      <c r="H354" s="47"/>
      <c r="I354" s="48" t="str">
        <f aca="false">IF(G354="","",IFERROR(INDEX(pr_Prob,MATCH(G354,pr_Etapa,0)),0))</f>
        <v/>
      </c>
      <c r="J354" s="49" t="str">
        <f aca="false">IF(H354="","",H354*I354)</f>
        <v/>
      </c>
      <c r="K354" s="45"/>
      <c r="L354" s="45"/>
      <c r="M354" s="50" t="str">
        <f aca="false">IF(G354="","",IF(G354="Fechado ganho","Ganha",IF(G354="Fechado perdido","Perdida","Aberta")))</f>
        <v/>
      </c>
      <c r="N354" s="51" t="str">
        <f aca="false">IF(B354="","",IF(M354="Aberta",DataRef-B354,IF(L354="","",L354-B354)))</f>
        <v/>
      </c>
      <c r="O354" s="50" t="str">
        <f aca="false">IF(M354&lt;&gt;"Aberta","",IF(AND(K354&lt;&gt;"",K354&lt;DataRef),"Previsão vencida",IF(N354&gt;DiasParada,"Parada","")))</f>
        <v/>
      </c>
    </row>
    <row r="355" customFormat="false" ht="15" hidden="false" customHeight="false" outlineLevel="0" collapsed="false">
      <c r="A355" s="44"/>
      <c r="B355" s="45"/>
      <c r="C355" s="46"/>
      <c r="D355" s="46"/>
      <c r="E355" s="7" t="str">
        <f aca="false">IF(C355="","",IFERROR(INDEX(cl_Regiao,MATCH(C355,cl_Nome,0)),""))</f>
        <v/>
      </c>
      <c r="F355" s="46"/>
      <c r="G355" s="46"/>
      <c r="H355" s="47"/>
      <c r="I355" s="48" t="str">
        <f aca="false">IF(G355="","",IFERROR(INDEX(pr_Prob,MATCH(G355,pr_Etapa,0)),0))</f>
        <v/>
      </c>
      <c r="J355" s="49" t="str">
        <f aca="false">IF(H355="","",H355*I355)</f>
        <v/>
      </c>
      <c r="K355" s="45"/>
      <c r="L355" s="45"/>
      <c r="M355" s="50" t="str">
        <f aca="false">IF(G355="","",IF(G355="Fechado ganho","Ganha",IF(G355="Fechado perdido","Perdida","Aberta")))</f>
        <v/>
      </c>
      <c r="N355" s="51" t="str">
        <f aca="false">IF(B355="","",IF(M355="Aberta",DataRef-B355,IF(L355="","",L355-B355)))</f>
        <v/>
      </c>
      <c r="O355" s="50" t="str">
        <f aca="false">IF(M355&lt;&gt;"Aberta","",IF(AND(K355&lt;&gt;"",K355&lt;DataRef),"Previsão vencida",IF(N355&gt;DiasParada,"Parada","")))</f>
        <v/>
      </c>
    </row>
    <row r="356" customFormat="false" ht="15" hidden="false" customHeight="false" outlineLevel="0" collapsed="false">
      <c r="A356" s="44"/>
      <c r="B356" s="45"/>
      <c r="C356" s="46"/>
      <c r="D356" s="46"/>
      <c r="E356" s="7" t="str">
        <f aca="false">IF(C356="","",IFERROR(INDEX(cl_Regiao,MATCH(C356,cl_Nome,0)),""))</f>
        <v/>
      </c>
      <c r="F356" s="46"/>
      <c r="G356" s="46"/>
      <c r="H356" s="47"/>
      <c r="I356" s="48" t="str">
        <f aca="false">IF(G356="","",IFERROR(INDEX(pr_Prob,MATCH(G356,pr_Etapa,0)),0))</f>
        <v/>
      </c>
      <c r="J356" s="49" t="str">
        <f aca="false">IF(H356="","",H356*I356)</f>
        <v/>
      </c>
      <c r="K356" s="45"/>
      <c r="L356" s="45"/>
      <c r="M356" s="50" t="str">
        <f aca="false">IF(G356="","",IF(G356="Fechado ganho","Ganha",IF(G356="Fechado perdido","Perdida","Aberta")))</f>
        <v/>
      </c>
      <c r="N356" s="51" t="str">
        <f aca="false">IF(B356="","",IF(M356="Aberta",DataRef-B356,IF(L356="","",L356-B356)))</f>
        <v/>
      </c>
      <c r="O356" s="50" t="str">
        <f aca="false">IF(M356&lt;&gt;"Aberta","",IF(AND(K356&lt;&gt;"",K356&lt;DataRef),"Previsão vencida",IF(N356&gt;DiasParada,"Parada","")))</f>
        <v/>
      </c>
    </row>
    <row r="357" customFormat="false" ht="15" hidden="false" customHeight="false" outlineLevel="0" collapsed="false">
      <c r="A357" s="44"/>
      <c r="B357" s="45"/>
      <c r="C357" s="46"/>
      <c r="D357" s="46"/>
      <c r="E357" s="7" t="str">
        <f aca="false">IF(C357="","",IFERROR(INDEX(cl_Regiao,MATCH(C357,cl_Nome,0)),""))</f>
        <v/>
      </c>
      <c r="F357" s="46"/>
      <c r="G357" s="46"/>
      <c r="H357" s="47"/>
      <c r="I357" s="48" t="str">
        <f aca="false">IF(G357="","",IFERROR(INDEX(pr_Prob,MATCH(G357,pr_Etapa,0)),0))</f>
        <v/>
      </c>
      <c r="J357" s="49" t="str">
        <f aca="false">IF(H357="","",H357*I357)</f>
        <v/>
      </c>
      <c r="K357" s="45"/>
      <c r="L357" s="45"/>
      <c r="M357" s="50" t="str">
        <f aca="false">IF(G357="","",IF(G357="Fechado ganho","Ganha",IF(G357="Fechado perdido","Perdida","Aberta")))</f>
        <v/>
      </c>
      <c r="N357" s="51" t="str">
        <f aca="false">IF(B357="","",IF(M357="Aberta",DataRef-B357,IF(L357="","",L357-B357)))</f>
        <v/>
      </c>
      <c r="O357" s="50" t="str">
        <f aca="false">IF(M357&lt;&gt;"Aberta","",IF(AND(K357&lt;&gt;"",K357&lt;DataRef),"Previsão vencida",IF(N357&gt;DiasParada,"Parada","")))</f>
        <v/>
      </c>
    </row>
    <row r="358" customFormat="false" ht="15" hidden="false" customHeight="false" outlineLevel="0" collapsed="false">
      <c r="A358" s="44"/>
      <c r="B358" s="45"/>
      <c r="C358" s="46"/>
      <c r="D358" s="46"/>
      <c r="E358" s="7" t="str">
        <f aca="false">IF(C358="","",IFERROR(INDEX(cl_Regiao,MATCH(C358,cl_Nome,0)),""))</f>
        <v/>
      </c>
      <c r="F358" s="46"/>
      <c r="G358" s="46"/>
      <c r="H358" s="47"/>
      <c r="I358" s="48" t="str">
        <f aca="false">IF(G358="","",IFERROR(INDEX(pr_Prob,MATCH(G358,pr_Etapa,0)),0))</f>
        <v/>
      </c>
      <c r="J358" s="49" t="str">
        <f aca="false">IF(H358="","",H358*I358)</f>
        <v/>
      </c>
      <c r="K358" s="45"/>
      <c r="L358" s="45"/>
      <c r="M358" s="50" t="str">
        <f aca="false">IF(G358="","",IF(G358="Fechado ganho","Ganha",IF(G358="Fechado perdido","Perdida","Aberta")))</f>
        <v/>
      </c>
      <c r="N358" s="51" t="str">
        <f aca="false">IF(B358="","",IF(M358="Aberta",DataRef-B358,IF(L358="","",L358-B358)))</f>
        <v/>
      </c>
      <c r="O358" s="50" t="str">
        <f aca="false">IF(M358&lt;&gt;"Aberta","",IF(AND(K358&lt;&gt;"",K358&lt;DataRef),"Previsão vencida",IF(N358&gt;DiasParada,"Parada","")))</f>
        <v/>
      </c>
    </row>
    <row r="359" customFormat="false" ht="15" hidden="false" customHeight="false" outlineLevel="0" collapsed="false">
      <c r="A359" s="44"/>
      <c r="B359" s="45"/>
      <c r="C359" s="46"/>
      <c r="D359" s="46"/>
      <c r="E359" s="7" t="str">
        <f aca="false">IF(C359="","",IFERROR(INDEX(cl_Regiao,MATCH(C359,cl_Nome,0)),""))</f>
        <v/>
      </c>
      <c r="F359" s="46"/>
      <c r="G359" s="46"/>
      <c r="H359" s="47"/>
      <c r="I359" s="48" t="str">
        <f aca="false">IF(G359="","",IFERROR(INDEX(pr_Prob,MATCH(G359,pr_Etapa,0)),0))</f>
        <v/>
      </c>
      <c r="J359" s="49" t="str">
        <f aca="false">IF(H359="","",H359*I359)</f>
        <v/>
      </c>
      <c r="K359" s="45"/>
      <c r="L359" s="45"/>
      <c r="M359" s="50" t="str">
        <f aca="false">IF(G359="","",IF(G359="Fechado ganho","Ganha",IF(G359="Fechado perdido","Perdida","Aberta")))</f>
        <v/>
      </c>
      <c r="N359" s="51" t="str">
        <f aca="false">IF(B359="","",IF(M359="Aberta",DataRef-B359,IF(L359="","",L359-B359)))</f>
        <v/>
      </c>
      <c r="O359" s="50" t="str">
        <f aca="false">IF(M359&lt;&gt;"Aberta","",IF(AND(K359&lt;&gt;"",K359&lt;DataRef),"Previsão vencida",IF(N359&gt;DiasParada,"Parada","")))</f>
        <v/>
      </c>
    </row>
    <row r="360" customFormat="false" ht="15" hidden="false" customHeight="false" outlineLevel="0" collapsed="false">
      <c r="A360" s="44"/>
      <c r="B360" s="45"/>
      <c r="C360" s="46"/>
      <c r="D360" s="46"/>
      <c r="E360" s="7" t="str">
        <f aca="false">IF(C360="","",IFERROR(INDEX(cl_Regiao,MATCH(C360,cl_Nome,0)),""))</f>
        <v/>
      </c>
      <c r="F360" s="46"/>
      <c r="G360" s="46"/>
      <c r="H360" s="47"/>
      <c r="I360" s="48" t="str">
        <f aca="false">IF(G360="","",IFERROR(INDEX(pr_Prob,MATCH(G360,pr_Etapa,0)),0))</f>
        <v/>
      </c>
      <c r="J360" s="49" t="str">
        <f aca="false">IF(H360="","",H360*I360)</f>
        <v/>
      </c>
      <c r="K360" s="45"/>
      <c r="L360" s="45"/>
      <c r="M360" s="50" t="str">
        <f aca="false">IF(G360="","",IF(G360="Fechado ganho","Ganha",IF(G360="Fechado perdido","Perdida","Aberta")))</f>
        <v/>
      </c>
      <c r="N360" s="51" t="str">
        <f aca="false">IF(B360="","",IF(M360="Aberta",DataRef-B360,IF(L360="","",L360-B360)))</f>
        <v/>
      </c>
      <c r="O360" s="50" t="str">
        <f aca="false">IF(M360&lt;&gt;"Aberta","",IF(AND(K360&lt;&gt;"",K360&lt;DataRef),"Previsão vencida",IF(N360&gt;DiasParada,"Parada","")))</f>
        <v/>
      </c>
    </row>
    <row r="361" customFormat="false" ht="15" hidden="false" customHeight="false" outlineLevel="0" collapsed="false">
      <c r="A361" s="44"/>
      <c r="B361" s="45"/>
      <c r="C361" s="46"/>
      <c r="D361" s="46"/>
      <c r="E361" s="7" t="str">
        <f aca="false">IF(C361="","",IFERROR(INDEX(cl_Regiao,MATCH(C361,cl_Nome,0)),""))</f>
        <v/>
      </c>
      <c r="F361" s="46"/>
      <c r="G361" s="46"/>
      <c r="H361" s="47"/>
      <c r="I361" s="48" t="str">
        <f aca="false">IF(G361="","",IFERROR(INDEX(pr_Prob,MATCH(G361,pr_Etapa,0)),0))</f>
        <v/>
      </c>
      <c r="J361" s="49" t="str">
        <f aca="false">IF(H361="","",H361*I361)</f>
        <v/>
      </c>
      <c r="K361" s="45"/>
      <c r="L361" s="45"/>
      <c r="M361" s="50" t="str">
        <f aca="false">IF(G361="","",IF(G361="Fechado ganho","Ganha",IF(G361="Fechado perdido","Perdida","Aberta")))</f>
        <v/>
      </c>
      <c r="N361" s="51" t="str">
        <f aca="false">IF(B361="","",IF(M361="Aberta",DataRef-B361,IF(L361="","",L361-B361)))</f>
        <v/>
      </c>
      <c r="O361" s="50" t="str">
        <f aca="false">IF(M361&lt;&gt;"Aberta","",IF(AND(K361&lt;&gt;"",K361&lt;DataRef),"Previsão vencida",IF(N361&gt;DiasParada,"Parada","")))</f>
        <v/>
      </c>
    </row>
    <row r="362" customFormat="false" ht="15" hidden="false" customHeight="false" outlineLevel="0" collapsed="false">
      <c r="A362" s="44"/>
      <c r="B362" s="45"/>
      <c r="C362" s="46"/>
      <c r="D362" s="46"/>
      <c r="E362" s="7" t="str">
        <f aca="false">IF(C362="","",IFERROR(INDEX(cl_Regiao,MATCH(C362,cl_Nome,0)),""))</f>
        <v/>
      </c>
      <c r="F362" s="46"/>
      <c r="G362" s="46"/>
      <c r="H362" s="47"/>
      <c r="I362" s="48" t="str">
        <f aca="false">IF(G362="","",IFERROR(INDEX(pr_Prob,MATCH(G362,pr_Etapa,0)),0))</f>
        <v/>
      </c>
      <c r="J362" s="49" t="str">
        <f aca="false">IF(H362="","",H362*I362)</f>
        <v/>
      </c>
      <c r="K362" s="45"/>
      <c r="L362" s="45"/>
      <c r="M362" s="50" t="str">
        <f aca="false">IF(G362="","",IF(G362="Fechado ganho","Ganha",IF(G362="Fechado perdido","Perdida","Aberta")))</f>
        <v/>
      </c>
      <c r="N362" s="51" t="str">
        <f aca="false">IF(B362="","",IF(M362="Aberta",DataRef-B362,IF(L362="","",L362-B362)))</f>
        <v/>
      </c>
      <c r="O362" s="50" t="str">
        <f aca="false">IF(M362&lt;&gt;"Aberta","",IF(AND(K362&lt;&gt;"",K362&lt;DataRef),"Previsão vencida",IF(N362&gt;DiasParada,"Parada","")))</f>
        <v/>
      </c>
    </row>
    <row r="363" customFormat="false" ht="15" hidden="false" customHeight="false" outlineLevel="0" collapsed="false">
      <c r="A363" s="44"/>
      <c r="B363" s="45"/>
      <c r="C363" s="46"/>
      <c r="D363" s="46"/>
      <c r="E363" s="7" t="str">
        <f aca="false">IF(C363="","",IFERROR(INDEX(cl_Regiao,MATCH(C363,cl_Nome,0)),""))</f>
        <v/>
      </c>
      <c r="F363" s="46"/>
      <c r="G363" s="46"/>
      <c r="H363" s="47"/>
      <c r="I363" s="48" t="str">
        <f aca="false">IF(G363="","",IFERROR(INDEX(pr_Prob,MATCH(G363,pr_Etapa,0)),0))</f>
        <v/>
      </c>
      <c r="J363" s="49" t="str">
        <f aca="false">IF(H363="","",H363*I363)</f>
        <v/>
      </c>
      <c r="K363" s="45"/>
      <c r="L363" s="45"/>
      <c r="M363" s="50" t="str">
        <f aca="false">IF(G363="","",IF(G363="Fechado ganho","Ganha",IF(G363="Fechado perdido","Perdida","Aberta")))</f>
        <v/>
      </c>
      <c r="N363" s="51" t="str">
        <f aca="false">IF(B363="","",IF(M363="Aberta",DataRef-B363,IF(L363="","",L363-B363)))</f>
        <v/>
      </c>
      <c r="O363" s="50" t="str">
        <f aca="false">IF(M363&lt;&gt;"Aberta","",IF(AND(K363&lt;&gt;"",K363&lt;DataRef),"Previsão vencida",IF(N363&gt;DiasParada,"Parada","")))</f>
        <v/>
      </c>
    </row>
    <row r="364" customFormat="false" ht="15" hidden="false" customHeight="false" outlineLevel="0" collapsed="false">
      <c r="A364" s="44"/>
      <c r="B364" s="45"/>
      <c r="C364" s="46"/>
      <c r="D364" s="46"/>
      <c r="E364" s="7" t="str">
        <f aca="false">IF(C364="","",IFERROR(INDEX(cl_Regiao,MATCH(C364,cl_Nome,0)),""))</f>
        <v/>
      </c>
      <c r="F364" s="46"/>
      <c r="G364" s="46"/>
      <c r="H364" s="47"/>
      <c r="I364" s="48" t="str">
        <f aca="false">IF(G364="","",IFERROR(INDEX(pr_Prob,MATCH(G364,pr_Etapa,0)),0))</f>
        <v/>
      </c>
      <c r="J364" s="49" t="str">
        <f aca="false">IF(H364="","",H364*I364)</f>
        <v/>
      </c>
      <c r="K364" s="45"/>
      <c r="L364" s="45"/>
      <c r="M364" s="50" t="str">
        <f aca="false">IF(G364="","",IF(G364="Fechado ganho","Ganha",IF(G364="Fechado perdido","Perdida","Aberta")))</f>
        <v/>
      </c>
      <c r="N364" s="51" t="str">
        <f aca="false">IF(B364="","",IF(M364="Aberta",DataRef-B364,IF(L364="","",L364-B364)))</f>
        <v/>
      </c>
      <c r="O364" s="50" t="str">
        <f aca="false">IF(M364&lt;&gt;"Aberta","",IF(AND(K364&lt;&gt;"",K364&lt;DataRef),"Previsão vencida",IF(N364&gt;DiasParada,"Parada","")))</f>
        <v/>
      </c>
    </row>
    <row r="365" customFormat="false" ht="15" hidden="false" customHeight="false" outlineLevel="0" collapsed="false">
      <c r="A365" s="44"/>
      <c r="B365" s="45"/>
      <c r="C365" s="46"/>
      <c r="D365" s="46"/>
      <c r="E365" s="7" t="str">
        <f aca="false">IF(C365="","",IFERROR(INDEX(cl_Regiao,MATCH(C365,cl_Nome,0)),""))</f>
        <v/>
      </c>
      <c r="F365" s="46"/>
      <c r="G365" s="46"/>
      <c r="H365" s="47"/>
      <c r="I365" s="48" t="str">
        <f aca="false">IF(G365="","",IFERROR(INDEX(pr_Prob,MATCH(G365,pr_Etapa,0)),0))</f>
        <v/>
      </c>
      <c r="J365" s="49" t="str">
        <f aca="false">IF(H365="","",H365*I365)</f>
        <v/>
      </c>
      <c r="K365" s="45"/>
      <c r="L365" s="45"/>
      <c r="M365" s="50" t="str">
        <f aca="false">IF(G365="","",IF(G365="Fechado ganho","Ganha",IF(G365="Fechado perdido","Perdida","Aberta")))</f>
        <v/>
      </c>
      <c r="N365" s="51" t="str">
        <f aca="false">IF(B365="","",IF(M365="Aberta",DataRef-B365,IF(L365="","",L365-B365)))</f>
        <v/>
      </c>
      <c r="O365" s="50" t="str">
        <f aca="false">IF(M365&lt;&gt;"Aberta","",IF(AND(K365&lt;&gt;"",K365&lt;DataRef),"Previsão vencida",IF(N365&gt;DiasParada,"Parada","")))</f>
        <v/>
      </c>
    </row>
    <row r="366" customFormat="false" ht="15" hidden="false" customHeight="false" outlineLevel="0" collapsed="false">
      <c r="A366" s="44"/>
      <c r="B366" s="45"/>
      <c r="C366" s="46"/>
      <c r="D366" s="46"/>
      <c r="E366" s="7" t="str">
        <f aca="false">IF(C366="","",IFERROR(INDEX(cl_Regiao,MATCH(C366,cl_Nome,0)),""))</f>
        <v/>
      </c>
      <c r="F366" s="46"/>
      <c r="G366" s="46"/>
      <c r="H366" s="47"/>
      <c r="I366" s="48" t="str">
        <f aca="false">IF(G366="","",IFERROR(INDEX(pr_Prob,MATCH(G366,pr_Etapa,0)),0))</f>
        <v/>
      </c>
      <c r="J366" s="49" t="str">
        <f aca="false">IF(H366="","",H366*I366)</f>
        <v/>
      </c>
      <c r="K366" s="45"/>
      <c r="L366" s="45"/>
      <c r="M366" s="50" t="str">
        <f aca="false">IF(G366="","",IF(G366="Fechado ganho","Ganha",IF(G366="Fechado perdido","Perdida","Aberta")))</f>
        <v/>
      </c>
      <c r="N366" s="51" t="str">
        <f aca="false">IF(B366="","",IF(M366="Aberta",DataRef-B366,IF(L366="","",L366-B366)))</f>
        <v/>
      </c>
      <c r="O366" s="50" t="str">
        <f aca="false">IF(M366&lt;&gt;"Aberta","",IF(AND(K366&lt;&gt;"",K366&lt;DataRef),"Previsão vencida",IF(N366&gt;DiasParada,"Parada","")))</f>
        <v/>
      </c>
    </row>
    <row r="367" customFormat="false" ht="15" hidden="false" customHeight="false" outlineLevel="0" collapsed="false">
      <c r="A367" s="44"/>
      <c r="B367" s="45"/>
      <c r="C367" s="46"/>
      <c r="D367" s="46"/>
      <c r="E367" s="7" t="str">
        <f aca="false">IF(C367="","",IFERROR(INDEX(cl_Regiao,MATCH(C367,cl_Nome,0)),""))</f>
        <v/>
      </c>
      <c r="F367" s="46"/>
      <c r="G367" s="46"/>
      <c r="H367" s="47"/>
      <c r="I367" s="48" t="str">
        <f aca="false">IF(G367="","",IFERROR(INDEX(pr_Prob,MATCH(G367,pr_Etapa,0)),0))</f>
        <v/>
      </c>
      <c r="J367" s="49" t="str">
        <f aca="false">IF(H367="","",H367*I367)</f>
        <v/>
      </c>
      <c r="K367" s="45"/>
      <c r="L367" s="45"/>
      <c r="M367" s="50" t="str">
        <f aca="false">IF(G367="","",IF(G367="Fechado ganho","Ganha",IF(G367="Fechado perdido","Perdida","Aberta")))</f>
        <v/>
      </c>
      <c r="N367" s="51" t="str">
        <f aca="false">IF(B367="","",IF(M367="Aberta",DataRef-B367,IF(L367="","",L367-B367)))</f>
        <v/>
      </c>
      <c r="O367" s="50" t="str">
        <f aca="false">IF(M367&lt;&gt;"Aberta","",IF(AND(K367&lt;&gt;"",K367&lt;DataRef),"Previsão vencida",IF(N367&gt;DiasParada,"Parada","")))</f>
        <v/>
      </c>
    </row>
    <row r="368" customFormat="false" ht="15" hidden="false" customHeight="false" outlineLevel="0" collapsed="false">
      <c r="A368" s="44"/>
      <c r="B368" s="45"/>
      <c r="C368" s="46"/>
      <c r="D368" s="46"/>
      <c r="E368" s="7" t="str">
        <f aca="false">IF(C368="","",IFERROR(INDEX(cl_Regiao,MATCH(C368,cl_Nome,0)),""))</f>
        <v/>
      </c>
      <c r="F368" s="46"/>
      <c r="G368" s="46"/>
      <c r="H368" s="47"/>
      <c r="I368" s="48" t="str">
        <f aca="false">IF(G368="","",IFERROR(INDEX(pr_Prob,MATCH(G368,pr_Etapa,0)),0))</f>
        <v/>
      </c>
      <c r="J368" s="49" t="str">
        <f aca="false">IF(H368="","",H368*I368)</f>
        <v/>
      </c>
      <c r="K368" s="45"/>
      <c r="L368" s="45"/>
      <c r="M368" s="50" t="str">
        <f aca="false">IF(G368="","",IF(G368="Fechado ganho","Ganha",IF(G368="Fechado perdido","Perdida","Aberta")))</f>
        <v/>
      </c>
      <c r="N368" s="51" t="str">
        <f aca="false">IF(B368="","",IF(M368="Aberta",DataRef-B368,IF(L368="","",L368-B368)))</f>
        <v/>
      </c>
      <c r="O368" s="50" t="str">
        <f aca="false">IF(M368&lt;&gt;"Aberta","",IF(AND(K368&lt;&gt;"",K368&lt;DataRef),"Previsão vencida",IF(N368&gt;DiasParada,"Parada","")))</f>
        <v/>
      </c>
    </row>
    <row r="369" customFormat="false" ht="15" hidden="false" customHeight="false" outlineLevel="0" collapsed="false">
      <c r="A369" s="44"/>
      <c r="B369" s="45"/>
      <c r="C369" s="46"/>
      <c r="D369" s="46"/>
      <c r="E369" s="7" t="str">
        <f aca="false">IF(C369="","",IFERROR(INDEX(cl_Regiao,MATCH(C369,cl_Nome,0)),""))</f>
        <v/>
      </c>
      <c r="F369" s="46"/>
      <c r="G369" s="46"/>
      <c r="H369" s="47"/>
      <c r="I369" s="48" t="str">
        <f aca="false">IF(G369="","",IFERROR(INDEX(pr_Prob,MATCH(G369,pr_Etapa,0)),0))</f>
        <v/>
      </c>
      <c r="J369" s="49" t="str">
        <f aca="false">IF(H369="","",H369*I369)</f>
        <v/>
      </c>
      <c r="K369" s="45"/>
      <c r="L369" s="45"/>
      <c r="M369" s="50" t="str">
        <f aca="false">IF(G369="","",IF(G369="Fechado ganho","Ganha",IF(G369="Fechado perdido","Perdida","Aberta")))</f>
        <v/>
      </c>
      <c r="N369" s="51" t="str">
        <f aca="false">IF(B369="","",IF(M369="Aberta",DataRef-B369,IF(L369="","",L369-B369)))</f>
        <v/>
      </c>
      <c r="O369" s="50" t="str">
        <f aca="false">IF(M369&lt;&gt;"Aberta","",IF(AND(K369&lt;&gt;"",K369&lt;DataRef),"Previsão vencida",IF(N369&gt;DiasParada,"Parada","")))</f>
        <v/>
      </c>
    </row>
    <row r="370" customFormat="false" ht="15" hidden="false" customHeight="false" outlineLevel="0" collapsed="false">
      <c r="A370" s="44"/>
      <c r="B370" s="45"/>
      <c r="C370" s="46"/>
      <c r="D370" s="46"/>
      <c r="E370" s="7" t="str">
        <f aca="false">IF(C370="","",IFERROR(INDEX(cl_Regiao,MATCH(C370,cl_Nome,0)),""))</f>
        <v/>
      </c>
      <c r="F370" s="46"/>
      <c r="G370" s="46"/>
      <c r="H370" s="47"/>
      <c r="I370" s="48" t="str">
        <f aca="false">IF(G370="","",IFERROR(INDEX(pr_Prob,MATCH(G370,pr_Etapa,0)),0))</f>
        <v/>
      </c>
      <c r="J370" s="49" t="str">
        <f aca="false">IF(H370="","",H370*I370)</f>
        <v/>
      </c>
      <c r="K370" s="45"/>
      <c r="L370" s="45"/>
      <c r="M370" s="50" t="str">
        <f aca="false">IF(G370="","",IF(G370="Fechado ganho","Ganha",IF(G370="Fechado perdido","Perdida","Aberta")))</f>
        <v/>
      </c>
      <c r="N370" s="51" t="str">
        <f aca="false">IF(B370="","",IF(M370="Aberta",DataRef-B370,IF(L370="","",L370-B370)))</f>
        <v/>
      </c>
      <c r="O370" s="50" t="str">
        <f aca="false">IF(M370&lt;&gt;"Aberta","",IF(AND(K370&lt;&gt;"",K370&lt;DataRef),"Previsão vencida",IF(N370&gt;DiasParada,"Parada","")))</f>
        <v/>
      </c>
    </row>
    <row r="371" customFormat="false" ht="15" hidden="false" customHeight="false" outlineLevel="0" collapsed="false">
      <c r="A371" s="44"/>
      <c r="B371" s="45"/>
      <c r="C371" s="46"/>
      <c r="D371" s="46"/>
      <c r="E371" s="7" t="str">
        <f aca="false">IF(C371="","",IFERROR(INDEX(cl_Regiao,MATCH(C371,cl_Nome,0)),""))</f>
        <v/>
      </c>
      <c r="F371" s="46"/>
      <c r="G371" s="46"/>
      <c r="H371" s="47"/>
      <c r="I371" s="48" t="str">
        <f aca="false">IF(G371="","",IFERROR(INDEX(pr_Prob,MATCH(G371,pr_Etapa,0)),0))</f>
        <v/>
      </c>
      <c r="J371" s="49" t="str">
        <f aca="false">IF(H371="","",H371*I371)</f>
        <v/>
      </c>
      <c r="K371" s="45"/>
      <c r="L371" s="45"/>
      <c r="M371" s="50" t="str">
        <f aca="false">IF(G371="","",IF(G371="Fechado ganho","Ganha",IF(G371="Fechado perdido","Perdida","Aberta")))</f>
        <v/>
      </c>
      <c r="N371" s="51" t="str">
        <f aca="false">IF(B371="","",IF(M371="Aberta",DataRef-B371,IF(L371="","",L371-B371)))</f>
        <v/>
      </c>
      <c r="O371" s="50" t="str">
        <f aca="false">IF(M371&lt;&gt;"Aberta","",IF(AND(K371&lt;&gt;"",K371&lt;DataRef),"Previsão vencida",IF(N371&gt;DiasParada,"Parada","")))</f>
        <v/>
      </c>
    </row>
    <row r="372" customFormat="false" ht="15" hidden="false" customHeight="false" outlineLevel="0" collapsed="false">
      <c r="A372" s="44"/>
      <c r="B372" s="45"/>
      <c r="C372" s="46"/>
      <c r="D372" s="46"/>
      <c r="E372" s="7" t="str">
        <f aca="false">IF(C372="","",IFERROR(INDEX(cl_Regiao,MATCH(C372,cl_Nome,0)),""))</f>
        <v/>
      </c>
      <c r="F372" s="46"/>
      <c r="G372" s="46"/>
      <c r="H372" s="47"/>
      <c r="I372" s="48" t="str">
        <f aca="false">IF(G372="","",IFERROR(INDEX(pr_Prob,MATCH(G372,pr_Etapa,0)),0))</f>
        <v/>
      </c>
      <c r="J372" s="49" t="str">
        <f aca="false">IF(H372="","",H372*I372)</f>
        <v/>
      </c>
      <c r="K372" s="45"/>
      <c r="L372" s="45"/>
      <c r="M372" s="50" t="str">
        <f aca="false">IF(G372="","",IF(G372="Fechado ganho","Ganha",IF(G372="Fechado perdido","Perdida","Aberta")))</f>
        <v/>
      </c>
      <c r="N372" s="51" t="str">
        <f aca="false">IF(B372="","",IF(M372="Aberta",DataRef-B372,IF(L372="","",L372-B372)))</f>
        <v/>
      </c>
      <c r="O372" s="50" t="str">
        <f aca="false">IF(M372&lt;&gt;"Aberta","",IF(AND(K372&lt;&gt;"",K372&lt;DataRef),"Previsão vencida",IF(N372&gt;DiasParada,"Parada","")))</f>
        <v/>
      </c>
    </row>
    <row r="373" customFormat="false" ht="15" hidden="false" customHeight="false" outlineLevel="0" collapsed="false">
      <c r="A373" s="44"/>
      <c r="B373" s="45"/>
      <c r="C373" s="46"/>
      <c r="D373" s="46"/>
      <c r="E373" s="7" t="str">
        <f aca="false">IF(C373="","",IFERROR(INDEX(cl_Regiao,MATCH(C373,cl_Nome,0)),""))</f>
        <v/>
      </c>
      <c r="F373" s="46"/>
      <c r="G373" s="46"/>
      <c r="H373" s="47"/>
      <c r="I373" s="48" t="str">
        <f aca="false">IF(G373="","",IFERROR(INDEX(pr_Prob,MATCH(G373,pr_Etapa,0)),0))</f>
        <v/>
      </c>
      <c r="J373" s="49" t="str">
        <f aca="false">IF(H373="","",H373*I373)</f>
        <v/>
      </c>
      <c r="K373" s="45"/>
      <c r="L373" s="45"/>
      <c r="M373" s="50" t="str">
        <f aca="false">IF(G373="","",IF(G373="Fechado ganho","Ganha",IF(G373="Fechado perdido","Perdida","Aberta")))</f>
        <v/>
      </c>
      <c r="N373" s="51" t="str">
        <f aca="false">IF(B373="","",IF(M373="Aberta",DataRef-B373,IF(L373="","",L373-B373)))</f>
        <v/>
      </c>
      <c r="O373" s="50" t="str">
        <f aca="false">IF(M373&lt;&gt;"Aberta","",IF(AND(K373&lt;&gt;"",K373&lt;DataRef),"Previsão vencida",IF(N373&gt;DiasParada,"Parada","")))</f>
        <v/>
      </c>
    </row>
    <row r="374" customFormat="false" ht="15" hidden="false" customHeight="false" outlineLevel="0" collapsed="false">
      <c r="A374" s="44"/>
      <c r="B374" s="45"/>
      <c r="C374" s="46"/>
      <c r="D374" s="46"/>
      <c r="E374" s="7" t="str">
        <f aca="false">IF(C374="","",IFERROR(INDEX(cl_Regiao,MATCH(C374,cl_Nome,0)),""))</f>
        <v/>
      </c>
      <c r="F374" s="46"/>
      <c r="G374" s="46"/>
      <c r="H374" s="47"/>
      <c r="I374" s="48" t="str">
        <f aca="false">IF(G374="","",IFERROR(INDEX(pr_Prob,MATCH(G374,pr_Etapa,0)),0))</f>
        <v/>
      </c>
      <c r="J374" s="49" t="str">
        <f aca="false">IF(H374="","",H374*I374)</f>
        <v/>
      </c>
      <c r="K374" s="45"/>
      <c r="L374" s="45"/>
      <c r="M374" s="50" t="str">
        <f aca="false">IF(G374="","",IF(G374="Fechado ganho","Ganha",IF(G374="Fechado perdido","Perdida","Aberta")))</f>
        <v/>
      </c>
      <c r="N374" s="51" t="str">
        <f aca="false">IF(B374="","",IF(M374="Aberta",DataRef-B374,IF(L374="","",L374-B374)))</f>
        <v/>
      </c>
      <c r="O374" s="50" t="str">
        <f aca="false">IF(M374&lt;&gt;"Aberta","",IF(AND(K374&lt;&gt;"",K374&lt;DataRef),"Previsão vencida",IF(N374&gt;DiasParada,"Parada","")))</f>
        <v/>
      </c>
    </row>
    <row r="375" customFormat="false" ht="15" hidden="false" customHeight="false" outlineLevel="0" collapsed="false">
      <c r="A375" s="44"/>
      <c r="B375" s="45"/>
      <c r="C375" s="46"/>
      <c r="D375" s="46"/>
      <c r="E375" s="7" t="str">
        <f aca="false">IF(C375="","",IFERROR(INDEX(cl_Regiao,MATCH(C375,cl_Nome,0)),""))</f>
        <v/>
      </c>
      <c r="F375" s="46"/>
      <c r="G375" s="46"/>
      <c r="H375" s="47"/>
      <c r="I375" s="48" t="str">
        <f aca="false">IF(G375="","",IFERROR(INDEX(pr_Prob,MATCH(G375,pr_Etapa,0)),0))</f>
        <v/>
      </c>
      <c r="J375" s="49" t="str">
        <f aca="false">IF(H375="","",H375*I375)</f>
        <v/>
      </c>
      <c r="K375" s="45"/>
      <c r="L375" s="45"/>
      <c r="M375" s="50" t="str">
        <f aca="false">IF(G375="","",IF(G375="Fechado ganho","Ganha",IF(G375="Fechado perdido","Perdida","Aberta")))</f>
        <v/>
      </c>
      <c r="N375" s="51" t="str">
        <f aca="false">IF(B375="","",IF(M375="Aberta",DataRef-B375,IF(L375="","",L375-B375)))</f>
        <v/>
      </c>
      <c r="O375" s="50" t="str">
        <f aca="false">IF(M375&lt;&gt;"Aberta","",IF(AND(K375&lt;&gt;"",K375&lt;DataRef),"Previsão vencida",IF(N375&gt;DiasParada,"Parada","")))</f>
        <v/>
      </c>
    </row>
    <row r="376" customFormat="false" ht="15" hidden="false" customHeight="false" outlineLevel="0" collapsed="false">
      <c r="A376" s="44"/>
      <c r="B376" s="45"/>
      <c r="C376" s="46"/>
      <c r="D376" s="46"/>
      <c r="E376" s="7" t="str">
        <f aca="false">IF(C376="","",IFERROR(INDEX(cl_Regiao,MATCH(C376,cl_Nome,0)),""))</f>
        <v/>
      </c>
      <c r="F376" s="46"/>
      <c r="G376" s="46"/>
      <c r="H376" s="47"/>
      <c r="I376" s="48" t="str">
        <f aca="false">IF(G376="","",IFERROR(INDEX(pr_Prob,MATCH(G376,pr_Etapa,0)),0))</f>
        <v/>
      </c>
      <c r="J376" s="49" t="str">
        <f aca="false">IF(H376="","",H376*I376)</f>
        <v/>
      </c>
      <c r="K376" s="45"/>
      <c r="L376" s="45"/>
      <c r="M376" s="50" t="str">
        <f aca="false">IF(G376="","",IF(G376="Fechado ganho","Ganha",IF(G376="Fechado perdido","Perdida","Aberta")))</f>
        <v/>
      </c>
      <c r="N376" s="51" t="str">
        <f aca="false">IF(B376="","",IF(M376="Aberta",DataRef-B376,IF(L376="","",L376-B376)))</f>
        <v/>
      </c>
      <c r="O376" s="50" t="str">
        <f aca="false">IF(M376&lt;&gt;"Aberta","",IF(AND(K376&lt;&gt;"",K376&lt;DataRef),"Previsão vencida",IF(N376&gt;DiasParada,"Parada","")))</f>
        <v/>
      </c>
    </row>
    <row r="377" customFormat="false" ht="15" hidden="false" customHeight="false" outlineLevel="0" collapsed="false">
      <c r="A377" s="44"/>
      <c r="B377" s="45"/>
      <c r="C377" s="46"/>
      <c r="D377" s="46"/>
      <c r="E377" s="7" t="str">
        <f aca="false">IF(C377="","",IFERROR(INDEX(cl_Regiao,MATCH(C377,cl_Nome,0)),""))</f>
        <v/>
      </c>
      <c r="F377" s="46"/>
      <c r="G377" s="46"/>
      <c r="H377" s="47"/>
      <c r="I377" s="48" t="str">
        <f aca="false">IF(G377="","",IFERROR(INDEX(pr_Prob,MATCH(G377,pr_Etapa,0)),0))</f>
        <v/>
      </c>
      <c r="J377" s="49" t="str">
        <f aca="false">IF(H377="","",H377*I377)</f>
        <v/>
      </c>
      <c r="K377" s="45"/>
      <c r="L377" s="45"/>
      <c r="M377" s="50" t="str">
        <f aca="false">IF(G377="","",IF(G377="Fechado ganho","Ganha",IF(G377="Fechado perdido","Perdida","Aberta")))</f>
        <v/>
      </c>
      <c r="N377" s="51" t="str">
        <f aca="false">IF(B377="","",IF(M377="Aberta",DataRef-B377,IF(L377="","",L377-B377)))</f>
        <v/>
      </c>
      <c r="O377" s="50" t="str">
        <f aca="false">IF(M377&lt;&gt;"Aberta","",IF(AND(K377&lt;&gt;"",K377&lt;DataRef),"Previsão vencida",IF(N377&gt;DiasParada,"Parada","")))</f>
        <v/>
      </c>
    </row>
    <row r="378" customFormat="false" ht="15" hidden="false" customHeight="false" outlineLevel="0" collapsed="false">
      <c r="A378" s="44"/>
      <c r="B378" s="45"/>
      <c r="C378" s="46"/>
      <c r="D378" s="46"/>
      <c r="E378" s="7" t="str">
        <f aca="false">IF(C378="","",IFERROR(INDEX(cl_Regiao,MATCH(C378,cl_Nome,0)),""))</f>
        <v/>
      </c>
      <c r="F378" s="46"/>
      <c r="G378" s="46"/>
      <c r="H378" s="47"/>
      <c r="I378" s="48" t="str">
        <f aca="false">IF(G378="","",IFERROR(INDEX(pr_Prob,MATCH(G378,pr_Etapa,0)),0))</f>
        <v/>
      </c>
      <c r="J378" s="49" t="str">
        <f aca="false">IF(H378="","",H378*I378)</f>
        <v/>
      </c>
      <c r="K378" s="45"/>
      <c r="L378" s="45"/>
      <c r="M378" s="50" t="str">
        <f aca="false">IF(G378="","",IF(G378="Fechado ganho","Ganha",IF(G378="Fechado perdido","Perdida","Aberta")))</f>
        <v/>
      </c>
      <c r="N378" s="51" t="str">
        <f aca="false">IF(B378="","",IF(M378="Aberta",DataRef-B378,IF(L378="","",L378-B378)))</f>
        <v/>
      </c>
      <c r="O378" s="50" t="str">
        <f aca="false">IF(M378&lt;&gt;"Aberta","",IF(AND(K378&lt;&gt;"",K378&lt;DataRef),"Previsão vencida",IF(N378&gt;DiasParada,"Parada","")))</f>
        <v/>
      </c>
    </row>
    <row r="379" customFormat="false" ht="15" hidden="false" customHeight="false" outlineLevel="0" collapsed="false">
      <c r="A379" s="44"/>
      <c r="B379" s="45"/>
      <c r="C379" s="46"/>
      <c r="D379" s="46"/>
      <c r="E379" s="7" t="str">
        <f aca="false">IF(C379="","",IFERROR(INDEX(cl_Regiao,MATCH(C379,cl_Nome,0)),""))</f>
        <v/>
      </c>
      <c r="F379" s="46"/>
      <c r="G379" s="46"/>
      <c r="H379" s="47"/>
      <c r="I379" s="48" t="str">
        <f aca="false">IF(G379="","",IFERROR(INDEX(pr_Prob,MATCH(G379,pr_Etapa,0)),0))</f>
        <v/>
      </c>
      <c r="J379" s="49" t="str">
        <f aca="false">IF(H379="","",H379*I379)</f>
        <v/>
      </c>
      <c r="K379" s="45"/>
      <c r="L379" s="45"/>
      <c r="M379" s="50" t="str">
        <f aca="false">IF(G379="","",IF(G379="Fechado ganho","Ganha",IF(G379="Fechado perdido","Perdida","Aberta")))</f>
        <v/>
      </c>
      <c r="N379" s="51" t="str">
        <f aca="false">IF(B379="","",IF(M379="Aberta",DataRef-B379,IF(L379="","",L379-B379)))</f>
        <v/>
      </c>
      <c r="O379" s="50" t="str">
        <f aca="false">IF(M379&lt;&gt;"Aberta","",IF(AND(K379&lt;&gt;"",K379&lt;DataRef),"Previsão vencida",IF(N379&gt;DiasParada,"Parada","")))</f>
        <v/>
      </c>
    </row>
    <row r="380" customFormat="false" ht="15" hidden="false" customHeight="false" outlineLevel="0" collapsed="false">
      <c r="A380" s="44"/>
      <c r="B380" s="45"/>
      <c r="C380" s="46"/>
      <c r="D380" s="46"/>
      <c r="E380" s="7" t="str">
        <f aca="false">IF(C380="","",IFERROR(INDEX(cl_Regiao,MATCH(C380,cl_Nome,0)),""))</f>
        <v/>
      </c>
      <c r="F380" s="46"/>
      <c r="G380" s="46"/>
      <c r="H380" s="47"/>
      <c r="I380" s="48" t="str">
        <f aca="false">IF(G380="","",IFERROR(INDEX(pr_Prob,MATCH(G380,pr_Etapa,0)),0))</f>
        <v/>
      </c>
      <c r="J380" s="49" t="str">
        <f aca="false">IF(H380="","",H380*I380)</f>
        <v/>
      </c>
      <c r="K380" s="45"/>
      <c r="L380" s="45"/>
      <c r="M380" s="50" t="str">
        <f aca="false">IF(G380="","",IF(G380="Fechado ganho","Ganha",IF(G380="Fechado perdido","Perdida","Aberta")))</f>
        <v/>
      </c>
      <c r="N380" s="51" t="str">
        <f aca="false">IF(B380="","",IF(M380="Aberta",DataRef-B380,IF(L380="","",L380-B380)))</f>
        <v/>
      </c>
      <c r="O380" s="50" t="str">
        <f aca="false">IF(M380&lt;&gt;"Aberta","",IF(AND(K380&lt;&gt;"",K380&lt;DataRef),"Previsão vencida",IF(N380&gt;DiasParada,"Parada","")))</f>
        <v/>
      </c>
    </row>
    <row r="381" customFormat="false" ht="15" hidden="false" customHeight="false" outlineLevel="0" collapsed="false">
      <c r="A381" s="44"/>
      <c r="B381" s="45"/>
      <c r="C381" s="46"/>
      <c r="D381" s="46"/>
      <c r="E381" s="7" t="str">
        <f aca="false">IF(C381="","",IFERROR(INDEX(cl_Regiao,MATCH(C381,cl_Nome,0)),""))</f>
        <v/>
      </c>
      <c r="F381" s="46"/>
      <c r="G381" s="46"/>
      <c r="H381" s="47"/>
      <c r="I381" s="48" t="str">
        <f aca="false">IF(G381="","",IFERROR(INDEX(pr_Prob,MATCH(G381,pr_Etapa,0)),0))</f>
        <v/>
      </c>
      <c r="J381" s="49" t="str">
        <f aca="false">IF(H381="","",H381*I381)</f>
        <v/>
      </c>
      <c r="K381" s="45"/>
      <c r="L381" s="45"/>
      <c r="M381" s="50" t="str">
        <f aca="false">IF(G381="","",IF(G381="Fechado ganho","Ganha",IF(G381="Fechado perdido","Perdida","Aberta")))</f>
        <v/>
      </c>
      <c r="N381" s="51" t="str">
        <f aca="false">IF(B381="","",IF(M381="Aberta",DataRef-B381,IF(L381="","",L381-B381)))</f>
        <v/>
      </c>
      <c r="O381" s="50" t="str">
        <f aca="false">IF(M381&lt;&gt;"Aberta","",IF(AND(K381&lt;&gt;"",K381&lt;DataRef),"Previsão vencida",IF(N381&gt;DiasParada,"Parada","")))</f>
        <v/>
      </c>
    </row>
    <row r="382" customFormat="false" ht="15" hidden="false" customHeight="false" outlineLevel="0" collapsed="false">
      <c r="A382" s="44"/>
      <c r="B382" s="45"/>
      <c r="C382" s="46"/>
      <c r="D382" s="46"/>
      <c r="E382" s="7" t="str">
        <f aca="false">IF(C382="","",IFERROR(INDEX(cl_Regiao,MATCH(C382,cl_Nome,0)),""))</f>
        <v/>
      </c>
      <c r="F382" s="46"/>
      <c r="G382" s="46"/>
      <c r="H382" s="47"/>
      <c r="I382" s="48" t="str">
        <f aca="false">IF(G382="","",IFERROR(INDEX(pr_Prob,MATCH(G382,pr_Etapa,0)),0))</f>
        <v/>
      </c>
      <c r="J382" s="49" t="str">
        <f aca="false">IF(H382="","",H382*I382)</f>
        <v/>
      </c>
      <c r="K382" s="45"/>
      <c r="L382" s="45"/>
      <c r="M382" s="50" t="str">
        <f aca="false">IF(G382="","",IF(G382="Fechado ganho","Ganha",IF(G382="Fechado perdido","Perdida","Aberta")))</f>
        <v/>
      </c>
      <c r="N382" s="51" t="str">
        <f aca="false">IF(B382="","",IF(M382="Aberta",DataRef-B382,IF(L382="","",L382-B382)))</f>
        <v/>
      </c>
      <c r="O382" s="50" t="str">
        <f aca="false">IF(M382&lt;&gt;"Aberta","",IF(AND(K382&lt;&gt;"",K382&lt;DataRef),"Previsão vencida",IF(N382&gt;DiasParada,"Parada","")))</f>
        <v/>
      </c>
    </row>
    <row r="383" customFormat="false" ht="15" hidden="false" customHeight="false" outlineLevel="0" collapsed="false">
      <c r="A383" s="44"/>
      <c r="B383" s="45"/>
      <c r="C383" s="46"/>
      <c r="D383" s="46"/>
      <c r="E383" s="7" t="str">
        <f aca="false">IF(C383="","",IFERROR(INDEX(cl_Regiao,MATCH(C383,cl_Nome,0)),""))</f>
        <v/>
      </c>
      <c r="F383" s="46"/>
      <c r="G383" s="46"/>
      <c r="H383" s="47"/>
      <c r="I383" s="48" t="str">
        <f aca="false">IF(G383="","",IFERROR(INDEX(pr_Prob,MATCH(G383,pr_Etapa,0)),0))</f>
        <v/>
      </c>
      <c r="J383" s="49" t="str">
        <f aca="false">IF(H383="","",H383*I383)</f>
        <v/>
      </c>
      <c r="K383" s="45"/>
      <c r="L383" s="45"/>
      <c r="M383" s="50" t="str">
        <f aca="false">IF(G383="","",IF(G383="Fechado ganho","Ganha",IF(G383="Fechado perdido","Perdida","Aberta")))</f>
        <v/>
      </c>
      <c r="N383" s="51" t="str">
        <f aca="false">IF(B383="","",IF(M383="Aberta",DataRef-B383,IF(L383="","",L383-B383)))</f>
        <v/>
      </c>
      <c r="O383" s="50" t="str">
        <f aca="false">IF(M383&lt;&gt;"Aberta","",IF(AND(K383&lt;&gt;"",K383&lt;DataRef),"Previsão vencida",IF(N383&gt;DiasParada,"Parada","")))</f>
        <v/>
      </c>
    </row>
    <row r="384" customFormat="false" ht="15" hidden="false" customHeight="false" outlineLevel="0" collapsed="false">
      <c r="A384" s="44"/>
      <c r="B384" s="45"/>
      <c r="C384" s="46"/>
      <c r="D384" s="46"/>
      <c r="E384" s="7" t="str">
        <f aca="false">IF(C384="","",IFERROR(INDEX(cl_Regiao,MATCH(C384,cl_Nome,0)),""))</f>
        <v/>
      </c>
      <c r="F384" s="46"/>
      <c r="G384" s="46"/>
      <c r="H384" s="47"/>
      <c r="I384" s="48" t="str">
        <f aca="false">IF(G384="","",IFERROR(INDEX(pr_Prob,MATCH(G384,pr_Etapa,0)),0))</f>
        <v/>
      </c>
      <c r="J384" s="49" t="str">
        <f aca="false">IF(H384="","",H384*I384)</f>
        <v/>
      </c>
      <c r="K384" s="45"/>
      <c r="L384" s="45"/>
      <c r="M384" s="50" t="str">
        <f aca="false">IF(G384="","",IF(G384="Fechado ganho","Ganha",IF(G384="Fechado perdido","Perdida","Aberta")))</f>
        <v/>
      </c>
      <c r="N384" s="51" t="str">
        <f aca="false">IF(B384="","",IF(M384="Aberta",DataRef-B384,IF(L384="","",L384-B384)))</f>
        <v/>
      </c>
      <c r="O384" s="50" t="str">
        <f aca="false">IF(M384&lt;&gt;"Aberta","",IF(AND(K384&lt;&gt;"",K384&lt;DataRef),"Previsão vencida",IF(N384&gt;DiasParada,"Parada","")))</f>
        <v/>
      </c>
    </row>
    <row r="385" customFormat="false" ht="15" hidden="false" customHeight="false" outlineLevel="0" collapsed="false">
      <c r="A385" s="44"/>
      <c r="B385" s="45"/>
      <c r="C385" s="46"/>
      <c r="D385" s="46"/>
      <c r="E385" s="7" t="str">
        <f aca="false">IF(C385="","",IFERROR(INDEX(cl_Regiao,MATCH(C385,cl_Nome,0)),""))</f>
        <v/>
      </c>
      <c r="F385" s="46"/>
      <c r="G385" s="46"/>
      <c r="H385" s="47"/>
      <c r="I385" s="48" t="str">
        <f aca="false">IF(G385="","",IFERROR(INDEX(pr_Prob,MATCH(G385,pr_Etapa,0)),0))</f>
        <v/>
      </c>
      <c r="J385" s="49" t="str">
        <f aca="false">IF(H385="","",H385*I385)</f>
        <v/>
      </c>
      <c r="K385" s="45"/>
      <c r="L385" s="45"/>
      <c r="M385" s="50" t="str">
        <f aca="false">IF(G385="","",IF(G385="Fechado ganho","Ganha",IF(G385="Fechado perdido","Perdida","Aberta")))</f>
        <v/>
      </c>
      <c r="N385" s="51" t="str">
        <f aca="false">IF(B385="","",IF(M385="Aberta",DataRef-B385,IF(L385="","",L385-B385)))</f>
        <v/>
      </c>
      <c r="O385" s="50" t="str">
        <f aca="false">IF(M385&lt;&gt;"Aberta","",IF(AND(K385&lt;&gt;"",K385&lt;DataRef),"Previsão vencida",IF(N385&gt;DiasParada,"Parada","")))</f>
        <v/>
      </c>
    </row>
    <row r="386" customFormat="false" ht="15" hidden="false" customHeight="false" outlineLevel="0" collapsed="false">
      <c r="A386" s="44"/>
      <c r="B386" s="45"/>
      <c r="C386" s="46"/>
      <c r="D386" s="46"/>
      <c r="E386" s="7" t="str">
        <f aca="false">IF(C386="","",IFERROR(INDEX(cl_Regiao,MATCH(C386,cl_Nome,0)),""))</f>
        <v/>
      </c>
      <c r="F386" s="46"/>
      <c r="G386" s="46"/>
      <c r="H386" s="47"/>
      <c r="I386" s="48" t="str">
        <f aca="false">IF(G386="","",IFERROR(INDEX(pr_Prob,MATCH(G386,pr_Etapa,0)),0))</f>
        <v/>
      </c>
      <c r="J386" s="49" t="str">
        <f aca="false">IF(H386="","",H386*I386)</f>
        <v/>
      </c>
      <c r="K386" s="45"/>
      <c r="L386" s="45"/>
      <c r="M386" s="50" t="str">
        <f aca="false">IF(G386="","",IF(G386="Fechado ganho","Ganha",IF(G386="Fechado perdido","Perdida","Aberta")))</f>
        <v/>
      </c>
      <c r="N386" s="51" t="str">
        <f aca="false">IF(B386="","",IF(M386="Aberta",DataRef-B386,IF(L386="","",L386-B386)))</f>
        <v/>
      </c>
      <c r="O386" s="50" t="str">
        <f aca="false">IF(M386&lt;&gt;"Aberta","",IF(AND(K386&lt;&gt;"",K386&lt;DataRef),"Previsão vencida",IF(N386&gt;DiasParada,"Parada","")))</f>
        <v/>
      </c>
    </row>
    <row r="387" customFormat="false" ht="15" hidden="false" customHeight="false" outlineLevel="0" collapsed="false">
      <c r="A387" s="44"/>
      <c r="B387" s="45"/>
      <c r="C387" s="46"/>
      <c r="D387" s="46"/>
      <c r="E387" s="7" t="str">
        <f aca="false">IF(C387="","",IFERROR(INDEX(cl_Regiao,MATCH(C387,cl_Nome,0)),""))</f>
        <v/>
      </c>
      <c r="F387" s="46"/>
      <c r="G387" s="46"/>
      <c r="H387" s="47"/>
      <c r="I387" s="48" t="str">
        <f aca="false">IF(G387="","",IFERROR(INDEX(pr_Prob,MATCH(G387,pr_Etapa,0)),0))</f>
        <v/>
      </c>
      <c r="J387" s="49" t="str">
        <f aca="false">IF(H387="","",H387*I387)</f>
        <v/>
      </c>
      <c r="K387" s="45"/>
      <c r="L387" s="45"/>
      <c r="M387" s="50" t="str">
        <f aca="false">IF(G387="","",IF(G387="Fechado ganho","Ganha",IF(G387="Fechado perdido","Perdida","Aberta")))</f>
        <v/>
      </c>
      <c r="N387" s="51" t="str">
        <f aca="false">IF(B387="","",IF(M387="Aberta",DataRef-B387,IF(L387="","",L387-B387)))</f>
        <v/>
      </c>
      <c r="O387" s="50" t="str">
        <f aca="false">IF(M387&lt;&gt;"Aberta","",IF(AND(K387&lt;&gt;"",K387&lt;DataRef),"Previsão vencida",IF(N387&gt;DiasParada,"Parada","")))</f>
        <v/>
      </c>
    </row>
    <row r="388" customFormat="false" ht="15" hidden="false" customHeight="false" outlineLevel="0" collapsed="false">
      <c r="A388" s="44"/>
      <c r="B388" s="45"/>
      <c r="C388" s="46"/>
      <c r="D388" s="46"/>
      <c r="E388" s="7" t="str">
        <f aca="false">IF(C388="","",IFERROR(INDEX(cl_Regiao,MATCH(C388,cl_Nome,0)),""))</f>
        <v/>
      </c>
      <c r="F388" s="46"/>
      <c r="G388" s="46"/>
      <c r="H388" s="47"/>
      <c r="I388" s="48" t="str">
        <f aca="false">IF(G388="","",IFERROR(INDEX(pr_Prob,MATCH(G388,pr_Etapa,0)),0))</f>
        <v/>
      </c>
      <c r="J388" s="49" t="str">
        <f aca="false">IF(H388="","",H388*I388)</f>
        <v/>
      </c>
      <c r="K388" s="45"/>
      <c r="L388" s="45"/>
      <c r="M388" s="50" t="str">
        <f aca="false">IF(G388="","",IF(G388="Fechado ganho","Ganha",IF(G388="Fechado perdido","Perdida","Aberta")))</f>
        <v/>
      </c>
      <c r="N388" s="51" t="str">
        <f aca="false">IF(B388="","",IF(M388="Aberta",DataRef-B388,IF(L388="","",L388-B388)))</f>
        <v/>
      </c>
      <c r="O388" s="50" t="str">
        <f aca="false">IF(M388&lt;&gt;"Aberta","",IF(AND(K388&lt;&gt;"",K388&lt;DataRef),"Previsão vencida",IF(N388&gt;DiasParada,"Parada","")))</f>
        <v/>
      </c>
    </row>
    <row r="389" customFormat="false" ht="15" hidden="false" customHeight="false" outlineLevel="0" collapsed="false">
      <c r="A389" s="44"/>
      <c r="B389" s="45"/>
      <c r="C389" s="46"/>
      <c r="D389" s="46"/>
      <c r="E389" s="7" t="str">
        <f aca="false">IF(C389="","",IFERROR(INDEX(cl_Regiao,MATCH(C389,cl_Nome,0)),""))</f>
        <v/>
      </c>
      <c r="F389" s="46"/>
      <c r="G389" s="46"/>
      <c r="H389" s="47"/>
      <c r="I389" s="48" t="str">
        <f aca="false">IF(G389="","",IFERROR(INDEX(pr_Prob,MATCH(G389,pr_Etapa,0)),0))</f>
        <v/>
      </c>
      <c r="J389" s="49" t="str">
        <f aca="false">IF(H389="","",H389*I389)</f>
        <v/>
      </c>
      <c r="K389" s="45"/>
      <c r="L389" s="45"/>
      <c r="M389" s="50" t="str">
        <f aca="false">IF(G389="","",IF(G389="Fechado ganho","Ganha",IF(G389="Fechado perdido","Perdida","Aberta")))</f>
        <v/>
      </c>
      <c r="N389" s="51" t="str">
        <f aca="false">IF(B389="","",IF(M389="Aberta",DataRef-B389,IF(L389="","",L389-B389)))</f>
        <v/>
      </c>
      <c r="O389" s="50" t="str">
        <f aca="false">IF(M389&lt;&gt;"Aberta","",IF(AND(K389&lt;&gt;"",K389&lt;DataRef),"Previsão vencida",IF(N389&gt;DiasParada,"Parada","")))</f>
        <v/>
      </c>
    </row>
    <row r="390" customFormat="false" ht="15" hidden="false" customHeight="false" outlineLevel="0" collapsed="false">
      <c r="A390" s="44"/>
      <c r="B390" s="45"/>
      <c r="C390" s="46"/>
      <c r="D390" s="46"/>
      <c r="E390" s="7" t="str">
        <f aca="false">IF(C390="","",IFERROR(INDEX(cl_Regiao,MATCH(C390,cl_Nome,0)),""))</f>
        <v/>
      </c>
      <c r="F390" s="46"/>
      <c r="G390" s="46"/>
      <c r="H390" s="47"/>
      <c r="I390" s="48" t="str">
        <f aca="false">IF(G390="","",IFERROR(INDEX(pr_Prob,MATCH(G390,pr_Etapa,0)),0))</f>
        <v/>
      </c>
      <c r="J390" s="49" t="str">
        <f aca="false">IF(H390="","",H390*I390)</f>
        <v/>
      </c>
      <c r="K390" s="45"/>
      <c r="L390" s="45"/>
      <c r="M390" s="50" t="str">
        <f aca="false">IF(G390="","",IF(G390="Fechado ganho","Ganha",IF(G390="Fechado perdido","Perdida","Aberta")))</f>
        <v/>
      </c>
      <c r="N390" s="51" t="str">
        <f aca="false">IF(B390="","",IF(M390="Aberta",DataRef-B390,IF(L390="","",L390-B390)))</f>
        <v/>
      </c>
      <c r="O390" s="50" t="str">
        <f aca="false">IF(M390&lt;&gt;"Aberta","",IF(AND(K390&lt;&gt;"",K390&lt;DataRef),"Previsão vencida",IF(N390&gt;DiasParada,"Parada","")))</f>
        <v/>
      </c>
    </row>
    <row r="391" customFormat="false" ht="15" hidden="false" customHeight="false" outlineLevel="0" collapsed="false">
      <c r="A391" s="44"/>
      <c r="B391" s="45"/>
      <c r="C391" s="46"/>
      <c r="D391" s="46"/>
      <c r="E391" s="7" t="str">
        <f aca="false">IF(C391="","",IFERROR(INDEX(cl_Regiao,MATCH(C391,cl_Nome,0)),""))</f>
        <v/>
      </c>
      <c r="F391" s="46"/>
      <c r="G391" s="46"/>
      <c r="H391" s="47"/>
      <c r="I391" s="48" t="str">
        <f aca="false">IF(G391="","",IFERROR(INDEX(pr_Prob,MATCH(G391,pr_Etapa,0)),0))</f>
        <v/>
      </c>
      <c r="J391" s="49" t="str">
        <f aca="false">IF(H391="","",H391*I391)</f>
        <v/>
      </c>
      <c r="K391" s="45"/>
      <c r="L391" s="45"/>
      <c r="M391" s="50" t="str">
        <f aca="false">IF(G391="","",IF(G391="Fechado ganho","Ganha",IF(G391="Fechado perdido","Perdida","Aberta")))</f>
        <v/>
      </c>
      <c r="N391" s="51" t="str">
        <f aca="false">IF(B391="","",IF(M391="Aberta",DataRef-B391,IF(L391="","",L391-B391)))</f>
        <v/>
      </c>
      <c r="O391" s="50" t="str">
        <f aca="false">IF(M391&lt;&gt;"Aberta","",IF(AND(K391&lt;&gt;"",K391&lt;DataRef),"Previsão vencida",IF(N391&gt;DiasParada,"Parada","")))</f>
        <v/>
      </c>
    </row>
    <row r="392" customFormat="false" ht="15" hidden="false" customHeight="false" outlineLevel="0" collapsed="false">
      <c r="A392" s="44"/>
      <c r="B392" s="45"/>
      <c r="C392" s="46"/>
      <c r="D392" s="46"/>
      <c r="E392" s="7" t="str">
        <f aca="false">IF(C392="","",IFERROR(INDEX(cl_Regiao,MATCH(C392,cl_Nome,0)),""))</f>
        <v/>
      </c>
      <c r="F392" s="46"/>
      <c r="G392" s="46"/>
      <c r="H392" s="47"/>
      <c r="I392" s="48" t="str">
        <f aca="false">IF(G392="","",IFERROR(INDEX(pr_Prob,MATCH(G392,pr_Etapa,0)),0))</f>
        <v/>
      </c>
      <c r="J392" s="49" t="str">
        <f aca="false">IF(H392="","",H392*I392)</f>
        <v/>
      </c>
      <c r="K392" s="45"/>
      <c r="L392" s="45"/>
      <c r="M392" s="50" t="str">
        <f aca="false">IF(G392="","",IF(G392="Fechado ganho","Ganha",IF(G392="Fechado perdido","Perdida","Aberta")))</f>
        <v/>
      </c>
      <c r="N392" s="51" t="str">
        <f aca="false">IF(B392="","",IF(M392="Aberta",DataRef-B392,IF(L392="","",L392-B392)))</f>
        <v/>
      </c>
      <c r="O392" s="50" t="str">
        <f aca="false">IF(M392&lt;&gt;"Aberta","",IF(AND(K392&lt;&gt;"",K392&lt;DataRef),"Previsão vencida",IF(N392&gt;DiasParada,"Parada","")))</f>
        <v/>
      </c>
    </row>
    <row r="393" customFormat="false" ht="15" hidden="false" customHeight="false" outlineLevel="0" collapsed="false">
      <c r="A393" s="44"/>
      <c r="B393" s="45"/>
      <c r="C393" s="46"/>
      <c r="D393" s="46"/>
      <c r="E393" s="7" t="str">
        <f aca="false">IF(C393="","",IFERROR(INDEX(cl_Regiao,MATCH(C393,cl_Nome,0)),""))</f>
        <v/>
      </c>
      <c r="F393" s="46"/>
      <c r="G393" s="46"/>
      <c r="H393" s="47"/>
      <c r="I393" s="48" t="str">
        <f aca="false">IF(G393="","",IFERROR(INDEX(pr_Prob,MATCH(G393,pr_Etapa,0)),0))</f>
        <v/>
      </c>
      <c r="J393" s="49" t="str">
        <f aca="false">IF(H393="","",H393*I393)</f>
        <v/>
      </c>
      <c r="K393" s="45"/>
      <c r="L393" s="45"/>
      <c r="M393" s="50" t="str">
        <f aca="false">IF(G393="","",IF(G393="Fechado ganho","Ganha",IF(G393="Fechado perdido","Perdida","Aberta")))</f>
        <v/>
      </c>
      <c r="N393" s="51" t="str">
        <f aca="false">IF(B393="","",IF(M393="Aberta",DataRef-B393,IF(L393="","",L393-B393)))</f>
        <v/>
      </c>
      <c r="O393" s="50" t="str">
        <f aca="false">IF(M393&lt;&gt;"Aberta","",IF(AND(K393&lt;&gt;"",K393&lt;DataRef),"Previsão vencida",IF(N393&gt;DiasParada,"Parada","")))</f>
        <v/>
      </c>
    </row>
    <row r="394" customFormat="false" ht="15" hidden="false" customHeight="false" outlineLevel="0" collapsed="false">
      <c r="A394" s="44"/>
      <c r="B394" s="45"/>
      <c r="C394" s="46"/>
      <c r="D394" s="46"/>
      <c r="E394" s="7" t="str">
        <f aca="false">IF(C394="","",IFERROR(INDEX(cl_Regiao,MATCH(C394,cl_Nome,0)),""))</f>
        <v/>
      </c>
      <c r="F394" s="46"/>
      <c r="G394" s="46"/>
      <c r="H394" s="47"/>
      <c r="I394" s="48" t="str">
        <f aca="false">IF(G394="","",IFERROR(INDEX(pr_Prob,MATCH(G394,pr_Etapa,0)),0))</f>
        <v/>
      </c>
      <c r="J394" s="49" t="str">
        <f aca="false">IF(H394="","",H394*I394)</f>
        <v/>
      </c>
      <c r="K394" s="45"/>
      <c r="L394" s="45"/>
      <c r="M394" s="50" t="str">
        <f aca="false">IF(G394="","",IF(G394="Fechado ganho","Ganha",IF(G394="Fechado perdido","Perdida","Aberta")))</f>
        <v/>
      </c>
      <c r="N394" s="51" t="str">
        <f aca="false">IF(B394="","",IF(M394="Aberta",DataRef-B394,IF(L394="","",L394-B394)))</f>
        <v/>
      </c>
      <c r="O394" s="50" t="str">
        <f aca="false">IF(M394&lt;&gt;"Aberta","",IF(AND(K394&lt;&gt;"",K394&lt;DataRef),"Previsão vencida",IF(N394&gt;DiasParada,"Parada","")))</f>
        <v/>
      </c>
    </row>
    <row r="395" customFormat="false" ht="15" hidden="false" customHeight="false" outlineLevel="0" collapsed="false">
      <c r="A395" s="44"/>
      <c r="B395" s="45"/>
      <c r="C395" s="46"/>
      <c r="D395" s="46"/>
      <c r="E395" s="7" t="str">
        <f aca="false">IF(C395="","",IFERROR(INDEX(cl_Regiao,MATCH(C395,cl_Nome,0)),""))</f>
        <v/>
      </c>
      <c r="F395" s="46"/>
      <c r="G395" s="46"/>
      <c r="H395" s="47"/>
      <c r="I395" s="48" t="str">
        <f aca="false">IF(G395="","",IFERROR(INDEX(pr_Prob,MATCH(G395,pr_Etapa,0)),0))</f>
        <v/>
      </c>
      <c r="J395" s="49" t="str">
        <f aca="false">IF(H395="","",H395*I395)</f>
        <v/>
      </c>
      <c r="K395" s="45"/>
      <c r="L395" s="45"/>
      <c r="M395" s="50" t="str">
        <f aca="false">IF(G395="","",IF(G395="Fechado ganho","Ganha",IF(G395="Fechado perdido","Perdida","Aberta")))</f>
        <v/>
      </c>
      <c r="N395" s="51" t="str">
        <f aca="false">IF(B395="","",IF(M395="Aberta",DataRef-B395,IF(L395="","",L395-B395)))</f>
        <v/>
      </c>
      <c r="O395" s="50" t="str">
        <f aca="false">IF(M395&lt;&gt;"Aberta","",IF(AND(K395&lt;&gt;"",K395&lt;DataRef),"Previsão vencida",IF(N395&gt;DiasParada,"Parada","")))</f>
        <v/>
      </c>
    </row>
    <row r="396" customFormat="false" ht="15" hidden="false" customHeight="false" outlineLevel="0" collapsed="false">
      <c r="A396" s="44"/>
      <c r="B396" s="45"/>
      <c r="C396" s="46"/>
      <c r="D396" s="46"/>
      <c r="E396" s="7" t="str">
        <f aca="false">IF(C396="","",IFERROR(INDEX(cl_Regiao,MATCH(C396,cl_Nome,0)),""))</f>
        <v/>
      </c>
      <c r="F396" s="46"/>
      <c r="G396" s="46"/>
      <c r="H396" s="47"/>
      <c r="I396" s="48" t="str">
        <f aca="false">IF(G396="","",IFERROR(INDEX(pr_Prob,MATCH(G396,pr_Etapa,0)),0))</f>
        <v/>
      </c>
      <c r="J396" s="49" t="str">
        <f aca="false">IF(H396="","",H396*I396)</f>
        <v/>
      </c>
      <c r="K396" s="45"/>
      <c r="L396" s="45"/>
      <c r="M396" s="50" t="str">
        <f aca="false">IF(G396="","",IF(G396="Fechado ganho","Ganha",IF(G396="Fechado perdido","Perdida","Aberta")))</f>
        <v/>
      </c>
      <c r="N396" s="51" t="str">
        <f aca="false">IF(B396="","",IF(M396="Aberta",DataRef-B396,IF(L396="","",L396-B396)))</f>
        <v/>
      </c>
      <c r="O396" s="50" t="str">
        <f aca="false">IF(M396&lt;&gt;"Aberta","",IF(AND(K396&lt;&gt;"",K396&lt;DataRef),"Previsão vencida",IF(N396&gt;DiasParada,"Parada","")))</f>
        <v/>
      </c>
    </row>
    <row r="397" customFormat="false" ht="15" hidden="false" customHeight="false" outlineLevel="0" collapsed="false">
      <c r="A397" s="44"/>
      <c r="B397" s="45"/>
      <c r="C397" s="46"/>
      <c r="D397" s="46"/>
      <c r="E397" s="7" t="str">
        <f aca="false">IF(C397="","",IFERROR(INDEX(cl_Regiao,MATCH(C397,cl_Nome,0)),""))</f>
        <v/>
      </c>
      <c r="F397" s="46"/>
      <c r="G397" s="46"/>
      <c r="H397" s="47"/>
      <c r="I397" s="48" t="str">
        <f aca="false">IF(G397="","",IFERROR(INDEX(pr_Prob,MATCH(G397,pr_Etapa,0)),0))</f>
        <v/>
      </c>
      <c r="J397" s="49" t="str">
        <f aca="false">IF(H397="","",H397*I397)</f>
        <v/>
      </c>
      <c r="K397" s="45"/>
      <c r="L397" s="45"/>
      <c r="M397" s="50" t="str">
        <f aca="false">IF(G397="","",IF(G397="Fechado ganho","Ganha",IF(G397="Fechado perdido","Perdida","Aberta")))</f>
        <v/>
      </c>
      <c r="N397" s="51" t="str">
        <f aca="false">IF(B397="","",IF(M397="Aberta",DataRef-B397,IF(L397="","",L397-B397)))</f>
        <v/>
      </c>
      <c r="O397" s="50" t="str">
        <f aca="false">IF(M397&lt;&gt;"Aberta","",IF(AND(K397&lt;&gt;"",K397&lt;DataRef),"Previsão vencida",IF(N397&gt;DiasParada,"Parada","")))</f>
        <v/>
      </c>
    </row>
    <row r="398" customFormat="false" ht="15" hidden="false" customHeight="false" outlineLevel="0" collapsed="false">
      <c r="A398" s="44"/>
      <c r="B398" s="45"/>
      <c r="C398" s="46"/>
      <c r="D398" s="46"/>
      <c r="E398" s="7" t="str">
        <f aca="false">IF(C398="","",IFERROR(INDEX(cl_Regiao,MATCH(C398,cl_Nome,0)),""))</f>
        <v/>
      </c>
      <c r="F398" s="46"/>
      <c r="G398" s="46"/>
      <c r="H398" s="47"/>
      <c r="I398" s="48" t="str">
        <f aca="false">IF(G398="","",IFERROR(INDEX(pr_Prob,MATCH(G398,pr_Etapa,0)),0))</f>
        <v/>
      </c>
      <c r="J398" s="49" t="str">
        <f aca="false">IF(H398="","",H398*I398)</f>
        <v/>
      </c>
      <c r="K398" s="45"/>
      <c r="L398" s="45"/>
      <c r="M398" s="50" t="str">
        <f aca="false">IF(G398="","",IF(G398="Fechado ganho","Ganha",IF(G398="Fechado perdido","Perdida","Aberta")))</f>
        <v/>
      </c>
      <c r="N398" s="51" t="str">
        <f aca="false">IF(B398="","",IF(M398="Aberta",DataRef-B398,IF(L398="","",L398-B398)))</f>
        <v/>
      </c>
      <c r="O398" s="50" t="str">
        <f aca="false">IF(M398&lt;&gt;"Aberta","",IF(AND(K398&lt;&gt;"",K398&lt;DataRef),"Previsão vencida",IF(N398&gt;DiasParada,"Parada","")))</f>
        <v/>
      </c>
    </row>
    <row r="399" customFormat="false" ht="15" hidden="false" customHeight="false" outlineLevel="0" collapsed="false">
      <c r="A399" s="44"/>
      <c r="B399" s="45"/>
      <c r="C399" s="46"/>
      <c r="D399" s="46"/>
      <c r="E399" s="7" t="str">
        <f aca="false">IF(C399="","",IFERROR(INDEX(cl_Regiao,MATCH(C399,cl_Nome,0)),""))</f>
        <v/>
      </c>
      <c r="F399" s="46"/>
      <c r="G399" s="46"/>
      <c r="H399" s="47"/>
      <c r="I399" s="48" t="str">
        <f aca="false">IF(G399="","",IFERROR(INDEX(pr_Prob,MATCH(G399,pr_Etapa,0)),0))</f>
        <v/>
      </c>
      <c r="J399" s="49" t="str">
        <f aca="false">IF(H399="","",H399*I399)</f>
        <v/>
      </c>
      <c r="K399" s="45"/>
      <c r="L399" s="45"/>
      <c r="M399" s="50" t="str">
        <f aca="false">IF(G399="","",IF(G399="Fechado ganho","Ganha",IF(G399="Fechado perdido","Perdida","Aberta")))</f>
        <v/>
      </c>
      <c r="N399" s="51" t="str">
        <f aca="false">IF(B399="","",IF(M399="Aberta",DataRef-B399,IF(L399="","",L399-B399)))</f>
        <v/>
      </c>
      <c r="O399" s="50" t="str">
        <f aca="false">IF(M399&lt;&gt;"Aberta","",IF(AND(K399&lt;&gt;"",K399&lt;DataRef),"Previsão vencida",IF(N399&gt;DiasParada,"Parada","")))</f>
        <v/>
      </c>
    </row>
    <row r="400" customFormat="false" ht="15" hidden="false" customHeight="false" outlineLevel="0" collapsed="false">
      <c r="A400" s="44"/>
      <c r="B400" s="45"/>
      <c r="C400" s="46"/>
      <c r="D400" s="46"/>
      <c r="E400" s="7" t="str">
        <f aca="false">IF(C400="","",IFERROR(INDEX(cl_Regiao,MATCH(C400,cl_Nome,0)),""))</f>
        <v/>
      </c>
      <c r="F400" s="46"/>
      <c r="G400" s="46"/>
      <c r="H400" s="47"/>
      <c r="I400" s="48" t="str">
        <f aca="false">IF(G400="","",IFERROR(INDEX(pr_Prob,MATCH(G400,pr_Etapa,0)),0))</f>
        <v/>
      </c>
      <c r="J400" s="49" t="str">
        <f aca="false">IF(H400="","",H400*I400)</f>
        <v/>
      </c>
      <c r="K400" s="45"/>
      <c r="L400" s="45"/>
      <c r="M400" s="50" t="str">
        <f aca="false">IF(G400="","",IF(G400="Fechado ganho","Ganha",IF(G400="Fechado perdido","Perdida","Aberta")))</f>
        <v/>
      </c>
      <c r="N400" s="51" t="str">
        <f aca="false">IF(B400="","",IF(M400="Aberta",DataRef-B400,IF(L400="","",L400-B400)))</f>
        <v/>
      </c>
      <c r="O400" s="50" t="str">
        <f aca="false">IF(M400&lt;&gt;"Aberta","",IF(AND(K400&lt;&gt;"",K400&lt;DataRef),"Previsão vencida",IF(N400&gt;DiasParada,"Parada","")))</f>
        <v/>
      </c>
    </row>
    <row r="401" customFormat="false" ht="15" hidden="false" customHeight="false" outlineLevel="0" collapsed="false">
      <c r="A401" s="44"/>
      <c r="B401" s="45"/>
      <c r="C401" s="46"/>
      <c r="D401" s="46"/>
      <c r="E401" s="7" t="str">
        <f aca="false">IF(C401="","",IFERROR(INDEX(cl_Regiao,MATCH(C401,cl_Nome,0)),""))</f>
        <v/>
      </c>
      <c r="F401" s="46"/>
      <c r="G401" s="46"/>
      <c r="H401" s="47"/>
      <c r="I401" s="48" t="str">
        <f aca="false">IF(G401="","",IFERROR(INDEX(pr_Prob,MATCH(G401,pr_Etapa,0)),0))</f>
        <v/>
      </c>
      <c r="J401" s="49" t="str">
        <f aca="false">IF(H401="","",H401*I401)</f>
        <v/>
      </c>
      <c r="K401" s="45"/>
      <c r="L401" s="45"/>
      <c r="M401" s="50" t="str">
        <f aca="false">IF(G401="","",IF(G401="Fechado ganho","Ganha",IF(G401="Fechado perdido","Perdida","Aberta")))</f>
        <v/>
      </c>
      <c r="N401" s="51" t="str">
        <f aca="false">IF(B401="","",IF(M401="Aberta",DataRef-B401,IF(L401="","",L401-B401)))</f>
        <v/>
      </c>
      <c r="O401" s="50" t="str">
        <f aca="false">IF(M401&lt;&gt;"Aberta","",IF(AND(K401&lt;&gt;"",K401&lt;DataRef),"Previsão vencida",IF(N401&gt;DiasParada,"Parada","")))</f>
        <v/>
      </c>
    </row>
    <row r="402" customFormat="false" ht="15" hidden="false" customHeight="false" outlineLevel="0" collapsed="false">
      <c r="A402" s="44"/>
      <c r="B402" s="45"/>
      <c r="C402" s="46"/>
      <c r="D402" s="46"/>
      <c r="E402" s="7" t="str">
        <f aca="false">IF(C402="","",IFERROR(INDEX(cl_Regiao,MATCH(C402,cl_Nome,0)),""))</f>
        <v/>
      </c>
      <c r="F402" s="46"/>
      <c r="G402" s="46"/>
      <c r="H402" s="47"/>
      <c r="I402" s="48" t="str">
        <f aca="false">IF(G402="","",IFERROR(INDEX(pr_Prob,MATCH(G402,pr_Etapa,0)),0))</f>
        <v/>
      </c>
      <c r="J402" s="49" t="str">
        <f aca="false">IF(H402="","",H402*I402)</f>
        <v/>
      </c>
      <c r="K402" s="45"/>
      <c r="L402" s="45"/>
      <c r="M402" s="50" t="str">
        <f aca="false">IF(G402="","",IF(G402="Fechado ganho","Ganha",IF(G402="Fechado perdido","Perdida","Aberta")))</f>
        <v/>
      </c>
      <c r="N402" s="51" t="str">
        <f aca="false">IF(B402="","",IF(M402="Aberta",DataRef-B402,IF(L402="","",L402-B402)))</f>
        <v/>
      </c>
      <c r="O402" s="50" t="str">
        <f aca="false">IF(M402&lt;&gt;"Aberta","",IF(AND(K402&lt;&gt;"",K402&lt;DataRef),"Previsão vencida",IF(N402&gt;DiasParada,"Parada","")))</f>
        <v/>
      </c>
    </row>
    <row r="403" customFormat="false" ht="15" hidden="false" customHeight="false" outlineLevel="0" collapsed="false">
      <c r="A403" s="44"/>
      <c r="B403" s="45"/>
      <c r="C403" s="46"/>
      <c r="D403" s="46"/>
      <c r="E403" s="7" t="str">
        <f aca="false">IF(C403="","",IFERROR(INDEX(cl_Regiao,MATCH(C403,cl_Nome,0)),""))</f>
        <v/>
      </c>
      <c r="F403" s="46"/>
      <c r="G403" s="46"/>
      <c r="H403" s="47"/>
      <c r="I403" s="48" t="str">
        <f aca="false">IF(G403="","",IFERROR(INDEX(pr_Prob,MATCH(G403,pr_Etapa,0)),0))</f>
        <v/>
      </c>
      <c r="J403" s="49" t="str">
        <f aca="false">IF(H403="","",H403*I403)</f>
        <v/>
      </c>
      <c r="K403" s="45"/>
      <c r="L403" s="45"/>
      <c r="M403" s="50" t="str">
        <f aca="false">IF(G403="","",IF(G403="Fechado ganho","Ganha",IF(G403="Fechado perdido","Perdida","Aberta")))</f>
        <v/>
      </c>
      <c r="N403" s="51" t="str">
        <f aca="false">IF(B403="","",IF(M403="Aberta",DataRef-B403,IF(L403="","",L403-B403)))</f>
        <v/>
      </c>
      <c r="O403" s="50" t="str">
        <f aca="false">IF(M403&lt;&gt;"Aberta","",IF(AND(K403&lt;&gt;"",K403&lt;DataRef),"Previsão vencida",IF(N403&gt;DiasParada,"Parada","")))</f>
        <v/>
      </c>
    </row>
    <row r="404" customFormat="false" ht="15" hidden="false" customHeight="false" outlineLevel="0" collapsed="false">
      <c r="A404" s="44"/>
      <c r="B404" s="45"/>
      <c r="C404" s="46"/>
      <c r="D404" s="46"/>
      <c r="E404" s="7" t="str">
        <f aca="false">IF(C404="","",IFERROR(INDEX(cl_Regiao,MATCH(C404,cl_Nome,0)),""))</f>
        <v/>
      </c>
      <c r="F404" s="46"/>
      <c r="G404" s="46"/>
      <c r="H404" s="47"/>
      <c r="I404" s="48" t="str">
        <f aca="false">IF(G404="","",IFERROR(INDEX(pr_Prob,MATCH(G404,pr_Etapa,0)),0))</f>
        <v/>
      </c>
      <c r="J404" s="49" t="str">
        <f aca="false">IF(H404="","",H404*I404)</f>
        <v/>
      </c>
      <c r="K404" s="45"/>
      <c r="L404" s="45"/>
      <c r="M404" s="50" t="str">
        <f aca="false">IF(G404="","",IF(G404="Fechado ganho","Ganha",IF(G404="Fechado perdido","Perdida","Aberta")))</f>
        <v/>
      </c>
      <c r="N404" s="51" t="str">
        <f aca="false">IF(B404="","",IF(M404="Aberta",DataRef-B404,IF(L404="","",L404-B404)))</f>
        <v/>
      </c>
      <c r="O404" s="50" t="str">
        <f aca="false">IF(M404&lt;&gt;"Aberta","",IF(AND(K404&lt;&gt;"",K404&lt;DataRef),"Previsão vencida",IF(N404&gt;DiasParada,"Parada","")))</f>
        <v/>
      </c>
    </row>
    <row r="405" customFormat="false" ht="15" hidden="false" customHeight="false" outlineLevel="0" collapsed="false">
      <c r="A405" s="44"/>
      <c r="B405" s="45"/>
      <c r="C405" s="46"/>
      <c r="D405" s="46"/>
      <c r="E405" s="7" t="str">
        <f aca="false">IF(C405="","",IFERROR(INDEX(cl_Regiao,MATCH(C405,cl_Nome,0)),""))</f>
        <v/>
      </c>
      <c r="F405" s="46"/>
      <c r="G405" s="46"/>
      <c r="H405" s="47"/>
      <c r="I405" s="48" t="str">
        <f aca="false">IF(G405="","",IFERROR(INDEX(pr_Prob,MATCH(G405,pr_Etapa,0)),0))</f>
        <v/>
      </c>
      <c r="J405" s="49" t="str">
        <f aca="false">IF(H405="","",H405*I405)</f>
        <v/>
      </c>
      <c r="K405" s="45"/>
      <c r="L405" s="45"/>
      <c r="M405" s="50" t="str">
        <f aca="false">IF(G405="","",IF(G405="Fechado ganho","Ganha",IF(G405="Fechado perdido","Perdida","Aberta")))</f>
        <v/>
      </c>
      <c r="N405" s="51" t="str">
        <f aca="false">IF(B405="","",IF(M405="Aberta",DataRef-B405,IF(L405="","",L405-B405)))</f>
        <v/>
      </c>
      <c r="O405" s="50" t="str">
        <f aca="false">IF(M405&lt;&gt;"Aberta","",IF(AND(K405&lt;&gt;"",K405&lt;DataRef),"Previsão vencida",IF(N405&gt;DiasParada,"Parada","")))</f>
        <v/>
      </c>
    </row>
    <row r="406" customFormat="false" ht="15" hidden="false" customHeight="false" outlineLevel="0" collapsed="false">
      <c r="A406" s="44"/>
      <c r="B406" s="45"/>
      <c r="C406" s="46"/>
      <c r="D406" s="46"/>
      <c r="E406" s="7" t="str">
        <f aca="false">IF(C406="","",IFERROR(INDEX(cl_Regiao,MATCH(C406,cl_Nome,0)),""))</f>
        <v/>
      </c>
      <c r="F406" s="46"/>
      <c r="G406" s="46"/>
      <c r="H406" s="47"/>
      <c r="I406" s="48" t="str">
        <f aca="false">IF(G406="","",IFERROR(INDEX(pr_Prob,MATCH(G406,pr_Etapa,0)),0))</f>
        <v/>
      </c>
      <c r="J406" s="49" t="str">
        <f aca="false">IF(H406="","",H406*I406)</f>
        <v/>
      </c>
      <c r="K406" s="45"/>
      <c r="L406" s="45"/>
      <c r="M406" s="50" t="str">
        <f aca="false">IF(G406="","",IF(G406="Fechado ganho","Ganha",IF(G406="Fechado perdido","Perdida","Aberta")))</f>
        <v/>
      </c>
      <c r="N406" s="51" t="str">
        <f aca="false">IF(B406="","",IF(M406="Aberta",DataRef-B406,IF(L406="","",L406-B406)))</f>
        <v/>
      </c>
      <c r="O406" s="50" t="str">
        <f aca="false">IF(M406&lt;&gt;"Aberta","",IF(AND(K406&lt;&gt;"",K406&lt;DataRef),"Previsão vencida",IF(N406&gt;DiasParada,"Parada","")))</f>
        <v/>
      </c>
    </row>
    <row r="407" customFormat="false" ht="15" hidden="false" customHeight="false" outlineLevel="0" collapsed="false">
      <c r="A407" s="44"/>
      <c r="B407" s="45"/>
      <c r="C407" s="46"/>
      <c r="D407" s="46"/>
      <c r="E407" s="7" t="str">
        <f aca="false">IF(C407="","",IFERROR(INDEX(cl_Regiao,MATCH(C407,cl_Nome,0)),""))</f>
        <v/>
      </c>
      <c r="F407" s="46"/>
      <c r="G407" s="46"/>
      <c r="H407" s="47"/>
      <c r="I407" s="48" t="str">
        <f aca="false">IF(G407="","",IFERROR(INDEX(pr_Prob,MATCH(G407,pr_Etapa,0)),0))</f>
        <v/>
      </c>
      <c r="J407" s="49" t="str">
        <f aca="false">IF(H407="","",H407*I407)</f>
        <v/>
      </c>
      <c r="K407" s="45"/>
      <c r="L407" s="45"/>
      <c r="M407" s="50" t="str">
        <f aca="false">IF(G407="","",IF(G407="Fechado ganho","Ganha",IF(G407="Fechado perdido","Perdida","Aberta")))</f>
        <v/>
      </c>
      <c r="N407" s="51" t="str">
        <f aca="false">IF(B407="","",IF(M407="Aberta",DataRef-B407,IF(L407="","",L407-B407)))</f>
        <v/>
      </c>
      <c r="O407" s="50" t="str">
        <f aca="false">IF(M407&lt;&gt;"Aberta","",IF(AND(K407&lt;&gt;"",K407&lt;DataRef),"Previsão vencida",IF(N407&gt;DiasParada,"Parada","")))</f>
        <v/>
      </c>
    </row>
    <row r="408" customFormat="false" ht="15" hidden="false" customHeight="false" outlineLevel="0" collapsed="false">
      <c r="A408" s="44"/>
      <c r="B408" s="45"/>
      <c r="C408" s="46"/>
      <c r="D408" s="46"/>
      <c r="E408" s="7" t="str">
        <f aca="false">IF(C408="","",IFERROR(INDEX(cl_Regiao,MATCH(C408,cl_Nome,0)),""))</f>
        <v/>
      </c>
      <c r="F408" s="46"/>
      <c r="G408" s="46"/>
      <c r="H408" s="47"/>
      <c r="I408" s="48" t="str">
        <f aca="false">IF(G408="","",IFERROR(INDEX(pr_Prob,MATCH(G408,pr_Etapa,0)),0))</f>
        <v/>
      </c>
      <c r="J408" s="49" t="str">
        <f aca="false">IF(H408="","",H408*I408)</f>
        <v/>
      </c>
      <c r="K408" s="45"/>
      <c r="L408" s="45"/>
      <c r="M408" s="50" t="str">
        <f aca="false">IF(G408="","",IF(G408="Fechado ganho","Ganha",IF(G408="Fechado perdido","Perdida","Aberta")))</f>
        <v/>
      </c>
      <c r="N408" s="51" t="str">
        <f aca="false">IF(B408="","",IF(M408="Aberta",DataRef-B408,IF(L408="","",L408-B408)))</f>
        <v/>
      </c>
      <c r="O408" s="50" t="str">
        <f aca="false">IF(M408&lt;&gt;"Aberta","",IF(AND(K408&lt;&gt;"",K408&lt;DataRef),"Previsão vencida",IF(N408&gt;DiasParada,"Parada","")))</f>
        <v/>
      </c>
    </row>
    <row r="409" customFormat="false" ht="15" hidden="false" customHeight="false" outlineLevel="0" collapsed="false">
      <c r="A409" s="44"/>
      <c r="B409" s="45"/>
      <c r="C409" s="46"/>
      <c r="D409" s="46"/>
      <c r="E409" s="7" t="str">
        <f aca="false">IF(C409="","",IFERROR(INDEX(cl_Regiao,MATCH(C409,cl_Nome,0)),""))</f>
        <v/>
      </c>
      <c r="F409" s="46"/>
      <c r="G409" s="46"/>
      <c r="H409" s="47"/>
      <c r="I409" s="48" t="str">
        <f aca="false">IF(G409="","",IFERROR(INDEX(pr_Prob,MATCH(G409,pr_Etapa,0)),0))</f>
        <v/>
      </c>
      <c r="J409" s="49" t="str">
        <f aca="false">IF(H409="","",H409*I409)</f>
        <v/>
      </c>
      <c r="K409" s="45"/>
      <c r="L409" s="45"/>
      <c r="M409" s="50" t="str">
        <f aca="false">IF(G409="","",IF(G409="Fechado ganho","Ganha",IF(G409="Fechado perdido","Perdida","Aberta")))</f>
        <v/>
      </c>
      <c r="N409" s="51" t="str">
        <f aca="false">IF(B409="","",IF(M409="Aberta",DataRef-B409,IF(L409="","",L409-B409)))</f>
        <v/>
      </c>
      <c r="O409" s="50" t="str">
        <f aca="false">IF(M409&lt;&gt;"Aberta","",IF(AND(K409&lt;&gt;"",K409&lt;DataRef),"Previsão vencida",IF(N409&gt;DiasParada,"Parada","")))</f>
        <v/>
      </c>
    </row>
    <row r="410" customFormat="false" ht="15" hidden="false" customHeight="false" outlineLevel="0" collapsed="false">
      <c r="A410" s="44"/>
      <c r="B410" s="45"/>
      <c r="C410" s="46"/>
      <c r="D410" s="46"/>
      <c r="E410" s="7" t="str">
        <f aca="false">IF(C410="","",IFERROR(INDEX(cl_Regiao,MATCH(C410,cl_Nome,0)),""))</f>
        <v/>
      </c>
      <c r="F410" s="46"/>
      <c r="G410" s="46"/>
      <c r="H410" s="47"/>
      <c r="I410" s="48" t="str">
        <f aca="false">IF(G410="","",IFERROR(INDEX(pr_Prob,MATCH(G410,pr_Etapa,0)),0))</f>
        <v/>
      </c>
      <c r="J410" s="49" t="str">
        <f aca="false">IF(H410="","",H410*I410)</f>
        <v/>
      </c>
      <c r="K410" s="45"/>
      <c r="L410" s="45"/>
      <c r="M410" s="50" t="str">
        <f aca="false">IF(G410="","",IF(G410="Fechado ganho","Ganha",IF(G410="Fechado perdido","Perdida","Aberta")))</f>
        <v/>
      </c>
      <c r="N410" s="51" t="str">
        <f aca="false">IF(B410="","",IF(M410="Aberta",DataRef-B410,IF(L410="","",L410-B410)))</f>
        <v/>
      </c>
      <c r="O410" s="50" t="str">
        <f aca="false">IF(M410&lt;&gt;"Aberta","",IF(AND(K410&lt;&gt;"",K410&lt;DataRef),"Previsão vencida",IF(N410&gt;DiasParada,"Parada","")))</f>
        <v/>
      </c>
    </row>
    <row r="411" customFormat="false" ht="15" hidden="false" customHeight="false" outlineLevel="0" collapsed="false">
      <c r="A411" s="44"/>
      <c r="B411" s="45"/>
      <c r="C411" s="46"/>
      <c r="D411" s="46"/>
      <c r="E411" s="7" t="str">
        <f aca="false">IF(C411="","",IFERROR(INDEX(cl_Regiao,MATCH(C411,cl_Nome,0)),""))</f>
        <v/>
      </c>
      <c r="F411" s="46"/>
      <c r="G411" s="46"/>
      <c r="H411" s="47"/>
      <c r="I411" s="48" t="str">
        <f aca="false">IF(G411="","",IFERROR(INDEX(pr_Prob,MATCH(G411,pr_Etapa,0)),0))</f>
        <v/>
      </c>
      <c r="J411" s="49" t="str">
        <f aca="false">IF(H411="","",H411*I411)</f>
        <v/>
      </c>
      <c r="K411" s="45"/>
      <c r="L411" s="45"/>
      <c r="M411" s="50" t="str">
        <f aca="false">IF(G411="","",IF(G411="Fechado ganho","Ganha",IF(G411="Fechado perdido","Perdida","Aberta")))</f>
        <v/>
      </c>
      <c r="N411" s="51" t="str">
        <f aca="false">IF(B411="","",IF(M411="Aberta",DataRef-B411,IF(L411="","",L411-B411)))</f>
        <v/>
      </c>
      <c r="O411" s="50" t="str">
        <f aca="false">IF(M411&lt;&gt;"Aberta","",IF(AND(K411&lt;&gt;"",K411&lt;DataRef),"Previsão vencida",IF(N411&gt;DiasParada,"Parada","")))</f>
        <v/>
      </c>
    </row>
    <row r="412" customFormat="false" ht="15" hidden="false" customHeight="false" outlineLevel="0" collapsed="false">
      <c r="A412" s="44"/>
      <c r="B412" s="45"/>
      <c r="C412" s="46"/>
      <c r="D412" s="46"/>
      <c r="E412" s="7" t="str">
        <f aca="false">IF(C412="","",IFERROR(INDEX(cl_Regiao,MATCH(C412,cl_Nome,0)),""))</f>
        <v/>
      </c>
      <c r="F412" s="46"/>
      <c r="G412" s="46"/>
      <c r="H412" s="47"/>
      <c r="I412" s="48" t="str">
        <f aca="false">IF(G412="","",IFERROR(INDEX(pr_Prob,MATCH(G412,pr_Etapa,0)),0))</f>
        <v/>
      </c>
      <c r="J412" s="49" t="str">
        <f aca="false">IF(H412="","",H412*I412)</f>
        <v/>
      </c>
      <c r="K412" s="45"/>
      <c r="L412" s="45"/>
      <c r="M412" s="50" t="str">
        <f aca="false">IF(G412="","",IF(G412="Fechado ganho","Ganha",IF(G412="Fechado perdido","Perdida","Aberta")))</f>
        <v/>
      </c>
      <c r="N412" s="51" t="str">
        <f aca="false">IF(B412="","",IF(M412="Aberta",DataRef-B412,IF(L412="","",L412-B412)))</f>
        <v/>
      </c>
      <c r="O412" s="50" t="str">
        <f aca="false">IF(M412&lt;&gt;"Aberta","",IF(AND(K412&lt;&gt;"",K412&lt;DataRef),"Previsão vencida",IF(N412&gt;DiasParada,"Parada","")))</f>
        <v/>
      </c>
    </row>
    <row r="413" customFormat="false" ht="15" hidden="false" customHeight="false" outlineLevel="0" collapsed="false">
      <c r="A413" s="44"/>
      <c r="B413" s="45"/>
      <c r="C413" s="46"/>
      <c r="D413" s="46"/>
      <c r="E413" s="7" t="str">
        <f aca="false">IF(C413="","",IFERROR(INDEX(cl_Regiao,MATCH(C413,cl_Nome,0)),""))</f>
        <v/>
      </c>
      <c r="F413" s="46"/>
      <c r="G413" s="46"/>
      <c r="H413" s="47"/>
      <c r="I413" s="48" t="str">
        <f aca="false">IF(G413="","",IFERROR(INDEX(pr_Prob,MATCH(G413,pr_Etapa,0)),0))</f>
        <v/>
      </c>
      <c r="J413" s="49" t="str">
        <f aca="false">IF(H413="","",H413*I413)</f>
        <v/>
      </c>
      <c r="K413" s="45"/>
      <c r="L413" s="45"/>
      <c r="M413" s="50" t="str">
        <f aca="false">IF(G413="","",IF(G413="Fechado ganho","Ganha",IF(G413="Fechado perdido","Perdida","Aberta")))</f>
        <v/>
      </c>
      <c r="N413" s="51" t="str">
        <f aca="false">IF(B413="","",IF(M413="Aberta",DataRef-B413,IF(L413="","",L413-B413)))</f>
        <v/>
      </c>
      <c r="O413" s="50" t="str">
        <f aca="false">IF(M413&lt;&gt;"Aberta","",IF(AND(K413&lt;&gt;"",K413&lt;DataRef),"Previsão vencida",IF(N413&gt;DiasParada,"Parada","")))</f>
        <v/>
      </c>
    </row>
    <row r="414" customFormat="false" ht="15" hidden="false" customHeight="false" outlineLevel="0" collapsed="false">
      <c r="A414" s="44"/>
      <c r="B414" s="45"/>
      <c r="C414" s="46"/>
      <c r="D414" s="46"/>
      <c r="E414" s="7" t="str">
        <f aca="false">IF(C414="","",IFERROR(INDEX(cl_Regiao,MATCH(C414,cl_Nome,0)),""))</f>
        <v/>
      </c>
      <c r="F414" s="46"/>
      <c r="G414" s="46"/>
      <c r="H414" s="47"/>
      <c r="I414" s="48" t="str">
        <f aca="false">IF(G414="","",IFERROR(INDEX(pr_Prob,MATCH(G414,pr_Etapa,0)),0))</f>
        <v/>
      </c>
      <c r="J414" s="49" t="str">
        <f aca="false">IF(H414="","",H414*I414)</f>
        <v/>
      </c>
      <c r="K414" s="45"/>
      <c r="L414" s="45"/>
      <c r="M414" s="50" t="str">
        <f aca="false">IF(G414="","",IF(G414="Fechado ganho","Ganha",IF(G414="Fechado perdido","Perdida","Aberta")))</f>
        <v/>
      </c>
      <c r="N414" s="51" t="str">
        <f aca="false">IF(B414="","",IF(M414="Aberta",DataRef-B414,IF(L414="","",L414-B414)))</f>
        <v/>
      </c>
      <c r="O414" s="50" t="str">
        <f aca="false">IF(M414&lt;&gt;"Aberta","",IF(AND(K414&lt;&gt;"",K414&lt;DataRef),"Previsão vencida",IF(N414&gt;DiasParada,"Parada","")))</f>
        <v/>
      </c>
    </row>
    <row r="415" customFormat="false" ht="15" hidden="false" customHeight="false" outlineLevel="0" collapsed="false">
      <c r="A415" s="44"/>
      <c r="B415" s="45"/>
      <c r="C415" s="46"/>
      <c r="D415" s="46"/>
      <c r="E415" s="7" t="str">
        <f aca="false">IF(C415="","",IFERROR(INDEX(cl_Regiao,MATCH(C415,cl_Nome,0)),""))</f>
        <v/>
      </c>
      <c r="F415" s="46"/>
      <c r="G415" s="46"/>
      <c r="H415" s="47"/>
      <c r="I415" s="48" t="str">
        <f aca="false">IF(G415="","",IFERROR(INDEX(pr_Prob,MATCH(G415,pr_Etapa,0)),0))</f>
        <v/>
      </c>
      <c r="J415" s="49" t="str">
        <f aca="false">IF(H415="","",H415*I415)</f>
        <v/>
      </c>
      <c r="K415" s="45"/>
      <c r="L415" s="45"/>
      <c r="M415" s="50" t="str">
        <f aca="false">IF(G415="","",IF(G415="Fechado ganho","Ganha",IF(G415="Fechado perdido","Perdida","Aberta")))</f>
        <v/>
      </c>
      <c r="N415" s="51" t="str">
        <f aca="false">IF(B415="","",IF(M415="Aberta",DataRef-B415,IF(L415="","",L415-B415)))</f>
        <v/>
      </c>
      <c r="O415" s="50" t="str">
        <f aca="false">IF(M415&lt;&gt;"Aberta","",IF(AND(K415&lt;&gt;"",K415&lt;DataRef),"Previsão vencida",IF(N415&gt;DiasParada,"Parada","")))</f>
        <v/>
      </c>
    </row>
    <row r="416" customFormat="false" ht="15" hidden="false" customHeight="false" outlineLevel="0" collapsed="false">
      <c r="A416" s="44"/>
      <c r="B416" s="45"/>
      <c r="C416" s="46"/>
      <c r="D416" s="46"/>
      <c r="E416" s="7" t="str">
        <f aca="false">IF(C416="","",IFERROR(INDEX(cl_Regiao,MATCH(C416,cl_Nome,0)),""))</f>
        <v/>
      </c>
      <c r="F416" s="46"/>
      <c r="G416" s="46"/>
      <c r="H416" s="47"/>
      <c r="I416" s="48" t="str">
        <f aca="false">IF(G416="","",IFERROR(INDEX(pr_Prob,MATCH(G416,pr_Etapa,0)),0))</f>
        <v/>
      </c>
      <c r="J416" s="49" t="str">
        <f aca="false">IF(H416="","",H416*I416)</f>
        <v/>
      </c>
      <c r="K416" s="45"/>
      <c r="L416" s="45"/>
      <c r="M416" s="50" t="str">
        <f aca="false">IF(G416="","",IF(G416="Fechado ganho","Ganha",IF(G416="Fechado perdido","Perdida","Aberta")))</f>
        <v/>
      </c>
      <c r="N416" s="51" t="str">
        <f aca="false">IF(B416="","",IF(M416="Aberta",DataRef-B416,IF(L416="","",L416-B416)))</f>
        <v/>
      </c>
      <c r="O416" s="50" t="str">
        <f aca="false">IF(M416&lt;&gt;"Aberta","",IF(AND(K416&lt;&gt;"",K416&lt;DataRef),"Previsão vencida",IF(N416&gt;DiasParada,"Parada","")))</f>
        <v/>
      </c>
    </row>
    <row r="417" customFormat="false" ht="15" hidden="false" customHeight="false" outlineLevel="0" collapsed="false">
      <c r="A417" s="44"/>
      <c r="B417" s="45"/>
      <c r="C417" s="46"/>
      <c r="D417" s="46"/>
      <c r="E417" s="7" t="str">
        <f aca="false">IF(C417="","",IFERROR(INDEX(cl_Regiao,MATCH(C417,cl_Nome,0)),""))</f>
        <v/>
      </c>
      <c r="F417" s="46"/>
      <c r="G417" s="46"/>
      <c r="H417" s="47"/>
      <c r="I417" s="48" t="str">
        <f aca="false">IF(G417="","",IFERROR(INDEX(pr_Prob,MATCH(G417,pr_Etapa,0)),0))</f>
        <v/>
      </c>
      <c r="J417" s="49" t="str">
        <f aca="false">IF(H417="","",H417*I417)</f>
        <v/>
      </c>
      <c r="K417" s="45"/>
      <c r="L417" s="45"/>
      <c r="M417" s="50" t="str">
        <f aca="false">IF(G417="","",IF(G417="Fechado ganho","Ganha",IF(G417="Fechado perdido","Perdida","Aberta")))</f>
        <v/>
      </c>
      <c r="N417" s="51" t="str">
        <f aca="false">IF(B417="","",IF(M417="Aberta",DataRef-B417,IF(L417="","",L417-B417)))</f>
        <v/>
      </c>
      <c r="O417" s="50" t="str">
        <f aca="false">IF(M417&lt;&gt;"Aberta","",IF(AND(K417&lt;&gt;"",K417&lt;DataRef),"Previsão vencida",IF(N417&gt;DiasParada,"Parada","")))</f>
        <v/>
      </c>
    </row>
    <row r="418" customFormat="false" ht="15" hidden="false" customHeight="false" outlineLevel="0" collapsed="false">
      <c r="A418" s="44"/>
      <c r="B418" s="45"/>
      <c r="C418" s="46"/>
      <c r="D418" s="46"/>
      <c r="E418" s="7" t="str">
        <f aca="false">IF(C418="","",IFERROR(INDEX(cl_Regiao,MATCH(C418,cl_Nome,0)),""))</f>
        <v/>
      </c>
      <c r="F418" s="46"/>
      <c r="G418" s="46"/>
      <c r="H418" s="47"/>
      <c r="I418" s="48" t="str">
        <f aca="false">IF(G418="","",IFERROR(INDEX(pr_Prob,MATCH(G418,pr_Etapa,0)),0))</f>
        <v/>
      </c>
      <c r="J418" s="49" t="str">
        <f aca="false">IF(H418="","",H418*I418)</f>
        <v/>
      </c>
      <c r="K418" s="45"/>
      <c r="L418" s="45"/>
      <c r="M418" s="50" t="str">
        <f aca="false">IF(G418="","",IF(G418="Fechado ganho","Ganha",IF(G418="Fechado perdido","Perdida","Aberta")))</f>
        <v/>
      </c>
      <c r="N418" s="51" t="str">
        <f aca="false">IF(B418="","",IF(M418="Aberta",DataRef-B418,IF(L418="","",L418-B418)))</f>
        <v/>
      </c>
      <c r="O418" s="50" t="str">
        <f aca="false">IF(M418&lt;&gt;"Aberta","",IF(AND(K418&lt;&gt;"",K418&lt;DataRef),"Previsão vencida",IF(N418&gt;DiasParada,"Parada","")))</f>
        <v/>
      </c>
    </row>
    <row r="419" customFormat="false" ht="15" hidden="false" customHeight="false" outlineLevel="0" collapsed="false">
      <c r="A419" s="44"/>
      <c r="B419" s="45"/>
      <c r="C419" s="46"/>
      <c r="D419" s="46"/>
      <c r="E419" s="7" t="str">
        <f aca="false">IF(C419="","",IFERROR(INDEX(cl_Regiao,MATCH(C419,cl_Nome,0)),""))</f>
        <v/>
      </c>
      <c r="F419" s="46"/>
      <c r="G419" s="46"/>
      <c r="H419" s="47"/>
      <c r="I419" s="48" t="str">
        <f aca="false">IF(G419="","",IFERROR(INDEX(pr_Prob,MATCH(G419,pr_Etapa,0)),0))</f>
        <v/>
      </c>
      <c r="J419" s="49" t="str">
        <f aca="false">IF(H419="","",H419*I419)</f>
        <v/>
      </c>
      <c r="K419" s="45"/>
      <c r="L419" s="45"/>
      <c r="M419" s="50" t="str">
        <f aca="false">IF(G419="","",IF(G419="Fechado ganho","Ganha",IF(G419="Fechado perdido","Perdida","Aberta")))</f>
        <v/>
      </c>
      <c r="N419" s="51" t="str">
        <f aca="false">IF(B419="","",IF(M419="Aberta",DataRef-B419,IF(L419="","",L419-B419)))</f>
        <v/>
      </c>
      <c r="O419" s="50" t="str">
        <f aca="false">IF(M419&lt;&gt;"Aberta","",IF(AND(K419&lt;&gt;"",K419&lt;DataRef),"Previsão vencida",IF(N419&gt;DiasParada,"Parada","")))</f>
        <v/>
      </c>
    </row>
    <row r="420" customFormat="false" ht="15" hidden="false" customHeight="false" outlineLevel="0" collapsed="false">
      <c r="A420" s="44"/>
      <c r="B420" s="45"/>
      <c r="C420" s="46"/>
      <c r="D420" s="46"/>
      <c r="E420" s="7" t="str">
        <f aca="false">IF(C420="","",IFERROR(INDEX(cl_Regiao,MATCH(C420,cl_Nome,0)),""))</f>
        <v/>
      </c>
      <c r="F420" s="46"/>
      <c r="G420" s="46"/>
      <c r="H420" s="47"/>
      <c r="I420" s="48" t="str">
        <f aca="false">IF(G420="","",IFERROR(INDEX(pr_Prob,MATCH(G420,pr_Etapa,0)),0))</f>
        <v/>
      </c>
      <c r="J420" s="49" t="str">
        <f aca="false">IF(H420="","",H420*I420)</f>
        <v/>
      </c>
      <c r="K420" s="45"/>
      <c r="L420" s="45"/>
      <c r="M420" s="50" t="str">
        <f aca="false">IF(G420="","",IF(G420="Fechado ganho","Ganha",IF(G420="Fechado perdido","Perdida","Aberta")))</f>
        <v/>
      </c>
      <c r="N420" s="51" t="str">
        <f aca="false">IF(B420="","",IF(M420="Aberta",DataRef-B420,IF(L420="","",L420-B420)))</f>
        <v/>
      </c>
      <c r="O420" s="50" t="str">
        <f aca="false">IF(M420&lt;&gt;"Aberta","",IF(AND(K420&lt;&gt;"",K420&lt;DataRef),"Previsão vencida",IF(N420&gt;DiasParada,"Parada","")))</f>
        <v/>
      </c>
    </row>
    <row r="421" customFormat="false" ht="15" hidden="false" customHeight="false" outlineLevel="0" collapsed="false">
      <c r="A421" s="44"/>
      <c r="B421" s="45"/>
      <c r="C421" s="46"/>
      <c r="D421" s="46"/>
      <c r="E421" s="7" t="str">
        <f aca="false">IF(C421="","",IFERROR(INDEX(cl_Regiao,MATCH(C421,cl_Nome,0)),""))</f>
        <v/>
      </c>
      <c r="F421" s="46"/>
      <c r="G421" s="46"/>
      <c r="H421" s="47"/>
      <c r="I421" s="48" t="str">
        <f aca="false">IF(G421="","",IFERROR(INDEX(pr_Prob,MATCH(G421,pr_Etapa,0)),0))</f>
        <v/>
      </c>
      <c r="J421" s="49" t="str">
        <f aca="false">IF(H421="","",H421*I421)</f>
        <v/>
      </c>
      <c r="K421" s="45"/>
      <c r="L421" s="45"/>
      <c r="M421" s="50" t="str">
        <f aca="false">IF(G421="","",IF(G421="Fechado ganho","Ganha",IF(G421="Fechado perdido","Perdida","Aberta")))</f>
        <v/>
      </c>
      <c r="N421" s="51" t="str">
        <f aca="false">IF(B421="","",IF(M421="Aberta",DataRef-B421,IF(L421="","",L421-B421)))</f>
        <v/>
      </c>
      <c r="O421" s="50" t="str">
        <f aca="false">IF(M421&lt;&gt;"Aberta","",IF(AND(K421&lt;&gt;"",K421&lt;DataRef),"Previsão vencida",IF(N421&gt;DiasParada,"Parada","")))</f>
        <v/>
      </c>
    </row>
    <row r="422" customFormat="false" ht="15" hidden="false" customHeight="false" outlineLevel="0" collapsed="false">
      <c r="A422" s="44"/>
      <c r="B422" s="45"/>
      <c r="C422" s="46"/>
      <c r="D422" s="46"/>
      <c r="E422" s="7" t="str">
        <f aca="false">IF(C422="","",IFERROR(INDEX(cl_Regiao,MATCH(C422,cl_Nome,0)),""))</f>
        <v/>
      </c>
      <c r="F422" s="46"/>
      <c r="G422" s="46"/>
      <c r="H422" s="47"/>
      <c r="I422" s="48" t="str">
        <f aca="false">IF(G422="","",IFERROR(INDEX(pr_Prob,MATCH(G422,pr_Etapa,0)),0))</f>
        <v/>
      </c>
      <c r="J422" s="49" t="str">
        <f aca="false">IF(H422="","",H422*I422)</f>
        <v/>
      </c>
      <c r="K422" s="45"/>
      <c r="L422" s="45"/>
      <c r="M422" s="50" t="str">
        <f aca="false">IF(G422="","",IF(G422="Fechado ganho","Ganha",IF(G422="Fechado perdido","Perdida","Aberta")))</f>
        <v/>
      </c>
      <c r="N422" s="51" t="str">
        <f aca="false">IF(B422="","",IF(M422="Aberta",DataRef-B422,IF(L422="","",L422-B422)))</f>
        <v/>
      </c>
      <c r="O422" s="50" t="str">
        <f aca="false">IF(M422&lt;&gt;"Aberta","",IF(AND(K422&lt;&gt;"",K422&lt;DataRef),"Previsão vencida",IF(N422&gt;DiasParada,"Parada","")))</f>
        <v/>
      </c>
    </row>
    <row r="423" customFormat="false" ht="15" hidden="false" customHeight="false" outlineLevel="0" collapsed="false">
      <c r="A423" s="44"/>
      <c r="B423" s="45"/>
      <c r="C423" s="46"/>
      <c r="D423" s="46"/>
      <c r="E423" s="7" t="str">
        <f aca="false">IF(C423="","",IFERROR(INDEX(cl_Regiao,MATCH(C423,cl_Nome,0)),""))</f>
        <v/>
      </c>
      <c r="F423" s="46"/>
      <c r="G423" s="46"/>
      <c r="H423" s="47"/>
      <c r="I423" s="48" t="str">
        <f aca="false">IF(G423="","",IFERROR(INDEX(pr_Prob,MATCH(G423,pr_Etapa,0)),0))</f>
        <v/>
      </c>
      <c r="J423" s="49" t="str">
        <f aca="false">IF(H423="","",H423*I423)</f>
        <v/>
      </c>
      <c r="K423" s="45"/>
      <c r="L423" s="45"/>
      <c r="M423" s="50" t="str">
        <f aca="false">IF(G423="","",IF(G423="Fechado ganho","Ganha",IF(G423="Fechado perdido","Perdida","Aberta")))</f>
        <v/>
      </c>
      <c r="N423" s="51" t="str">
        <f aca="false">IF(B423="","",IF(M423="Aberta",DataRef-B423,IF(L423="","",L423-B423)))</f>
        <v/>
      </c>
      <c r="O423" s="50" t="str">
        <f aca="false">IF(M423&lt;&gt;"Aberta","",IF(AND(K423&lt;&gt;"",K423&lt;DataRef),"Previsão vencida",IF(N423&gt;DiasParada,"Parada","")))</f>
        <v/>
      </c>
    </row>
    <row r="424" customFormat="false" ht="15" hidden="false" customHeight="false" outlineLevel="0" collapsed="false">
      <c r="A424" s="44"/>
      <c r="B424" s="45"/>
      <c r="C424" s="46"/>
      <c r="D424" s="46"/>
      <c r="E424" s="7" t="str">
        <f aca="false">IF(C424="","",IFERROR(INDEX(cl_Regiao,MATCH(C424,cl_Nome,0)),""))</f>
        <v/>
      </c>
      <c r="F424" s="46"/>
      <c r="G424" s="46"/>
      <c r="H424" s="47"/>
      <c r="I424" s="48" t="str">
        <f aca="false">IF(G424="","",IFERROR(INDEX(pr_Prob,MATCH(G424,pr_Etapa,0)),0))</f>
        <v/>
      </c>
      <c r="J424" s="49" t="str">
        <f aca="false">IF(H424="","",H424*I424)</f>
        <v/>
      </c>
      <c r="K424" s="45"/>
      <c r="L424" s="45"/>
      <c r="M424" s="50" t="str">
        <f aca="false">IF(G424="","",IF(G424="Fechado ganho","Ganha",IF(G424="Fechado perdido","Perdida","Aberta")))</f>
        <v/>
      </c>
      <c r="N424" s="51" t="str">
        <f aca="false">IF(B424="","",IF(M424="Aberta",DataRef-B424,IF(L424="","",L424-B424)))</f>
        <v/>
      </c>
      <c r="O424" s="50" t="str">
        <f aca="false">IF(M424&lt;&gt;"Aberta","",IF(AND(K424&lt;&gt;"",K424&lt;DataRef),"Previsão vencida",IF(N424&gt;DiasParada,"Parada","")))</f>
        <v/>
      </c>
    </row>
    <row r="425" customFormat="false" ht="15" hidden="false" customHeight="false" outlineLevel="0" collapsed="false">
      <c r="A425" s="44"/>
      <c r="B425" s="45"/>
      <c r="C425" s="46"/>
      <c r="D425" s="46"/>
      <c r="E425" s="7" t="str">
        <f aca="false">IF(C425="","",IFERROR(INDEX(cl_Regiao,MATCH(C425,cl_Nome,0)),""))</f>
        <v/>
      </c>
      <c r="F425" s="46"/>
      <c r="G425" s="46"/>
      <c r="H425" s="47"/>
      <c r="I425" s="48" t="str">
        <f aca="false">IF(G425="","",IFERROR(INDEX(pr_Prob,MATCH(G425,pr_Etapa,0)),0))</f>
        <v/>
      </c>
      <c r="J425" s="49" t="str">
        <f aca="false">IF(H425="","",H425*I425)</f>
        <v/>
      </c>
      <c r="K425" s="45"/>
      <c r="L425" s="45"/>
      <c r="M425" s="50" t="str">
        <f aca="false">IF(G425="","",IF(G425="Fechado ganho","Ganha",IF(G425="Fechado perdido","Perdida","Aberta")))</f>
        <v/>
      </c>
      <c r="N425" s="51" t="str">
        <f aca="false">IF(B425="","",IF(M425="Aberta",DataRef-B425,IF(L425="","",L425-B425)))</f>
        <v/>
      </c>
      <c r="O425" s="50" t="str">
        <f aca="false">IF(M425&lt;&gt;"Aberta","",IF(AND(K425&lt;&gt;"",K425&lt;DataRef),"Previsão vencida",IF(N425&gt;DiasParada,"Parada","")))</f>
        <v/>
      </c>
    </row>
    <row r="426" customFormat="false" ht="15" hidden="false" customHeight="false" outlineLevel="0" collapsed="false">
      <c r="A426" s="44"/>
      <c r="B426" s="45"/>
      <c r="C426" s="46"/>
      <c r="D426" s="46"/>
      <c r="E426" s="7" t="str">
        <f aca="false">IF(C426="","",IFERROR(INDEX(cl_Regiao,MATCH(C426,cl_Nome,0)),""))</f>
        <v/>
      </c>
      <c r="F426" s="46"/>
      <c r="G426" s="46"/>
      <c r="H426" s="47"/>
      <c r="I426" s="48" t="str">
        <f aca="false">IF(G426="","",IFERROR(INDEX(pr_Prob,MATCH(G426,pr_Etapa,0)),0))</f>
        <v/>
      </c>
      <c r="J426" s="49" t="str">
        <f aca="false">IF(H426="","",H426*I426)</f>
        <v/>
      </c>
      <c r="K426" s="45"/>
      <c r="L426" s="45"/>
      <c r="M426" s="50" t="str">
        <f aca="false">IF(G426="","",IF(G426="Fechado ganho","Ganha",IF(G426="Fechado perdido","Perdida","Aberta")))</f>
        <v/>
      </c>
      <c r="N426" s="51" t="str">
        <f aca="false">IF(B426="","",IF(M426="Aberta",DataRef-B426,IF(L426="","",L426-B426)))</f>
        <v/>
      </c>
      <c r="O426" s="50" t="str">
        <f aca="false">IF(M426&lt;&gt;"Aberta","",IF(AND(K426&lt;&gt;"",K426&lt;DataRef),"Previsão vencida",IF(N426&gt;DiasParada,"Parada","")))</f>
        <v/>
      </c>
    </row>
    <row r="427" customFormat="false" ht="15" hidden="false" customHeight="false" outlineLevel="0" collapsed="false">
      <c r="A427" s="44"/>
      <c r="B427" s="45"/>
      <c r="C427" s="46"/>
      <c r="D427" s="46"/>
      <c r="E427" s="7" t="str">
        <f aca="false">IF(C427="","",IFERROR(INDEX(cl_Regiao,MATCH(C427,cl_Nome,0)),""))</f>
        <v/>
      </c>
      <c r="F427" s="46"/>
      <c r="G427" s="46"/>
      <c r="H427" s="47"/>
      <c r="I427" s="48" t="str">
        <f aca="false">IF(G427="","",IFERROR(INDEX(pr_Prob,MATCH(G427,pr_Etapa,0)),0))</f>
        <v/>
      </c>
      <c r="J427" s="49" t="str">
        <f aca="false">IF(H427="","",H427*I427)</f>
        <v/>
      </c>
      <c r="K427" s="45"/>
      <c r="L427" s="45"/>
      <c r="M427" s="50" t="str">
        <f aca="false">IF(G427="","",IF(G427="Fechado ganho","Ganha",IF(G427="Fechado perdido","Perdida","Aberta")))</f>
        <v/>
      </c>
      <c r="N427" s="51" t="str">
        <f aca="false">IF(B427="","",IF(M427="Aberta",DataRef-B427,IF(L427="","",L427-B427)))</f>
        <v/>
      </c>
      <c r="O427" s="50" t="str">
        <f aca="false">IF(M427&lt;&gt;"Aberta","",IF(AND(K427&lt;&gt;"",K427&lt;DataRef),"Previsão vencida",IF(N427&gt;DiasParada,"Parada","")))</f>
        <v/>
      </c>
    </row>
    <row r="428" customFormat="false" ht="15" hidden="false" customHeight="false" outlineLevel="0" collapsed="false">
      <c r="A428" s="44"/>
      <c r="B428" s="45"/>
      <c r="C428" s="46"/>
      <c r="D428" s="46"/>
      <c r="E428" s="7" t="str">
        <f aca="false">IF(C428="","",IFERROR(INDEX(cl_Regiao,MATCH(C428,cl_Nome,0)),""))</f>
        <v/>
      </c>
      <c r="F428" s="46"/>
      <c r="G428" s="46"/>
      <c r="H428" s="47"/>
      <c r="I428" s="48" t="str">
        <f aca="false">IF(G428="","",IFERROR(INDEX(pr_Prob,MATCH(G428,pr_Etapa,0)),0))</f>
        <v/>
      </c>
      <c r="J428" s="49" t="str">
        <f aca="false">IF(H428="","",H428*I428)</f>
        <v/>
      </c>
      <c r="K428" s="45"/>
      <c r="L428" s="45"/>
      <c r="M428" s="50" t="str">
        <f aca="false">IF(G428="","",IF(G428="Fechado ganho","Ganha",IF(G428="Fechado perdido","Perdida","Aberta")))</f>
        <v/>
      </c>
      <c r="N428" s="51" t="str">
        <f aca="false">IF(B428="","",IF(M428="Aberta",DataRef-B428,IF(L428="","",L428-B428)))</f>
        <v/>
      </c>
      <c r="O428" s="50" t="str">
        <f aca="false">IF(M428&lt;&gt;"Aberta","",IF(AND(K428&lt;&gt;"",K428&lt;DataRef),"Previsão vencida",IF(N428&gt;DiasParada,"Parada","")))</f>
        <v/>
      </c>
    </row>
    <row r="429" customFormat="false" ht="15" hidden="false" customHeight="false" outlineLevel="0" collapsed="false">
      <c r="A429" s="44"/>
      <c r="B429" s="45"/>
      <c r="C429" s="46"/>
      <c r="D429" s="46"/>
      <c r="E429" s="7" t="str">
        <f aca="false">IF(C429="","",IFERROR(INDEX(cl_Regiao,MATCH(C429,cl_Nome,0)),""))</f>
        <v/>
      </c>
      <c r="F429" s="46"/>
      <c r="G429" s="46"/>
      <c r="H429" s="47"/>
      <c r="I429" s="48" t="str">
        <f aca="false">IF(G429="","",IFERROR(INDEX(pr_Prob,MATCH(G429,pr_Etapa,0)),0))</f>
        <v/>
      </c>
      <c r="J429" s="49" t="str">
        <f aca="false">IF(H429="","",H429*I429)</f>
        <v/>
      </c>
      <c r="K429" s="45"/>
      <c r="L429" s="45"/>
      <c r="M429" s="50" t="str">
        <f aca="false">IF(G429="","",IF(G429="Fechado ganho","Ganha",IF(G429="Fechado perdido","Perdida","Aberta")))</f>
        <v/>
      </c>
      <c r="N429" s="51" t="str">
        <f aca="false">IF(B429="","",IF(M429="Aberta",DataRef-B429,IF(L429="","",L429-B429)))</f>
        <v/>
      </c>
      <c r="O429" s="50" t="str">
        <f aca="false">IF(M429&lt;&gt;"Aberta","",IF(AND(K429&lt;&gt;"",K429&lt;DataRef),"Previsão vencida",IF(N429&gt;DiasParada,"Parada","")))</f>
        <v/>
      </c>
    </row>
    <row r="430" customFormat="false" ht="15" hidden="false" customHeight="false" outlineLevel="0" collapsed="false">
      <c r="A430" s="44"/>
      <c r="B430" s="45"/>
      <c r="C430" s="46"/>
      <c r="D430" s="46"/>
      <c r="E430" s="7" t="str">
        <f aca="false">IF(C430="","",IFERROR(INDEX(cl_Regiao,MATCH(C430,cl_Nome,0)),""))</f>
        <v/>
      </c>
      <c r="F430" s="46"/>
      <c r="G430" s="46"/>
      <c r="H430" s="47"/>
      <c r="I430" s="48" t="str">
        <f aca="false">IF(G430="","",IFERROR(INDEX(pr_Prob,MATCH(G430,pr_Etapa,0)),0))</f>
        <v/>
      </c>
      <c r="J430" s="49" t="str">
        <f aca="false">IF(H430="","",H430*I430)</f>
        <v/>
      </c>
      <c r="K430" s="45"/>
      <c r="L430" s="45"/>
      <c r="M430" s="50" t="str">
        <f aca="false">IF(G430="","",IF(G430="Fechado ganho","Ganha",IF(G430="Fechado perdido","Perdida","Aberta")))</f>
        <v/>
      </c>
      <c r="N430" s="51" t="str">
        <f aca="false">IF(B430="","",IF(M430="Aberta",DataRef-B430,IF(L430="","",L430-B430)))</f>
        <v/>
      </c>
      <c r="O430" s="50" t="str">
        <f aca="false">IF(M430&lt;&gt;"Aberta","",IF(AND(K430&lt;&gt;"",K430&lt;DataRef),"Previsão vencida",IF(N430&gt;DiasParada,"Parada","")))</f>
        <v/>
      </c>
    </row>
    <row r="431" customFormat="false" ht="15" hidden="false" customHeight="false" outlineLevel="0" collapsed="false">
      <c r="A431" s="44"/>
      <c r="B431" s="45"/>
      <c r="C431" s="46"/>
      <c r="D431" s="46"/>
      <c r="E431" s="7" t="str">
        <f aca="false">IF(C431="","",IFERROR(INDEX(cl_Regiao,MATCH(C431,cl_Nome,0)),""))</f>
        <v/>
      </c>
      <c r="F431" s="46"/>
      <c r="G431" s="46"/>
      <c r="H431" s="47"/>
      <c r="I431" s="48" t="str">
        <f aca="false">IF(G431="","",IFERROR(INDEX(pr_Prob,MATCH(G431,pr_Etapa,0)),0))</f>
        <v/>
      </c>
      <c r="J431" s="49" t="str">
        <f aca="false">IF(H431="","",H431*I431)</f>
        <v/>
      </c>
      <c r="K431" s="45"/>
      <c r="L431" s="45"/>
      <c r="M431" s="50" t="str">
        <f aca="false">IF(G431="","",IF(G431="Fechado ganho","Ganha",IF(G431="Fechado perdido","Perdida","Aberta")))</f>
        <v/>
      </c>
      <c r="N431" s="51" t="str">
        <f aca="false">IF(B431="","",IF(M431="Aberta",DataRef-B431,IF(L431="","",L431-B431)))</f>
        <v/>
      </c>
      <c r="O431" s="50" t="str">
        <f aca="false">IF(M431&lt;&gt;"Aberta","",IF(AND(K431&lt;&gt;"",K431&lt;DataRef),"Previsão vencida",IF(N431&gt;DiasParada,"Parada","")))</f>
        <v/>
      </c>
    </row>
    <row r="432" customFormat="false" ht="15" hidden="false" customHeight="false" outlineLevel="0" collapsed="false">
      <c r="A432" s="44"/>
      <c r="B432" s="45"/>
      <c r="C432" s="46"/>
      <c r="D432" s="46"/>
      <c r="E432" s="7" t="str">
        <f aca="false">IF(C432="","",IFERROR(INDEX(cl_Regiao,MATCH(C432,cl_Nome,0)),""))</f>
        <v/>
      </c>
      <c r="F432" s="46"/>
      <c r="G432" s="46"/>
      <c r="H432" s="47"/>
      <c r="I432" s="48" t="str">
        <f aca="false">IF(G432="","",IFERROR(INDEX(pr_Prob,MATCH(G432,pr_Etapa,0)),0))</f>
        <v/>
      </c>
      <c r="J432" s="49" t="str">
        <f aca="false">IF(H432="","",H432*I432)</f>
        <v/>
      </c>
      <c r="K432" s="45"/>
      <c r="L432" s="45"/>
      <c r="M432" s="50" t="str">
        <f aca="false">IF(G432="","",IF(G432="Fechado ganho","Ganha",IF(G432="Fechado perdido","Perdida","Aberta")))</f>
        <v/>
      </c>
      <c r="N432" s="51" t="str">
        <f aca="false">IF(B432="","",IF(M432="Aberta",DataRef-B432,IF(L432="","",L432-B432)))</f>
        <v/>
      </c>
      <c r="O432" s="50" t="str">
        <f aca="false">IF(M432&lt;&gt;"Aberta","",IF(AND(K432&lt;&gt;"",K432&lt;DataRef),"Previsão vencida",IF(N432&gt;DiasParada,"Parada","")))</f>
        <v/>
      </c>
    </row>
    <row r="433" customFormat="false" ht="15" hidden="false" customHeight="false" outlineLevel="0" collapsed="false">
      <c r="A433" s="44"/>
      <c r="B433" s="45"/>
      <c r="C433" s="46"/>
      <c r="D433" s="46"/>
      <c r="E433" s="7" t="str">
        <f aca="false">IF(C433="","",IFERROR(INDEX(cl_Regiao,MATCH(C433,cl_Nome,0)),""))</f>
        <v/>
      </c>
      <c r="F433" s="46"/>
      <c r="G433" s="46"/>
      <c r="H433" s="47"/>
      <c r="I433" s="48" t="str">
        <f aca="false">IF(G433="","",IFERROR(INDEX(pr_Prob,MATCH(G433,pr_Etapa,0)),0))</f>
        <v/>
      </c>
      <c r="J433" s="49" t="str">
        <f aca="false">IF(H433="","",H433*I433)</f>
        <v/>
      </c>
      <c r="K433" s="45"/>
      <c r="L433" s="45"/>
      <c r="M433" s="50" t="str">
        <f aca="false">IF(G433="","",IF(G433="Fechado ganho","Ganha",IF(G433="Fechado perdido","Perdida","Aberta")))</f>
        <v/>
      </c>
      <c r="N433" s="51" t="str">
        <f aca="false">IF(B433="","",IF(M433="Aberta",DataRef-B433,IF(L433="","",L433-B433)))</f>
        <v/>
      </c>
      <c r="O433" s="50" t="str">
        <f aca="false">IF(M433&lt;&gt;"Aberta","",IF(AND(K433&lt;&gt;"",K433&lt;DataRef),"Previsão vencida",IF(N433&gt;DiasParada,"Parada","")))</f>
        <v/>
      </c>
    </row>
    <row r="434" customFormat="false" ht="15" hidden="false" customHeight="false" outlineLevel="0" collapsed="false">
      <c r="A434" s="44"/>
      <c r="B434" s="45"/>
      <c r="C434" s="46"/>
      <c r="D434" s="46"/>
      <c r="E434" s="7" t="str">
        <f aca="false">IF(C434="","",IFERROR(INDEX(cl_Regiao,MATCH(C434,cl_Nome,0)),""))</f>
        <v/>
      </c>
      <c r="F434" s="46"/>
      <c r="G434" s="46"/>
      <c r="H434" s="47"/>
      <c r="I434" s="48" t="str">
        <f aca="false">IF(G434="","",IFERROR(INDEX(pr_Prob,MATCH(G434,pr_Etapa,0)),0))</f>
        <v/>
      </c>
      <c r="J434" s="49" t="str">
        <f aca="false">IF(H434="","",H434*I434)</f>
        <v/>
      </c>
      <c r="K434" s="45"/>
      <c r="L434" s="45"/>
      <c r="M434" s="50" t="str">
        <f aca="false">IF(G434="","",IF(G434="Fechado ganho","Ganha",IF(G434="Fechado perdido","Perdida","Aberta")))</f>
        <v/>
      </c>
      <c r="N434" s="51" t="str">
        <f aca="false">IF(B434="","",IF(M434="Aberta",DataRef-B434,IF(L434="","",L434-B434)))</f>
        <v/>
      </c>
      <c r="O434" s="50" t="str">
        <f aca="false">IF(M434&lt;&gt;"Aberta","",IF(AND(K434&lt;&gt;"",K434&lt;DataRef),"Previsão vencida",IF(N434&gt;DiasParada,"Parada","")))</f>
        <v/>
      </c>
    </row>
    <row r="435" customFormat="false" ht="15" hidden="false" customHeight="false" outlineLevel="0" collapsed="false">
      <c r="A435" s="44"/>
      <c r="B435" s="45"/>
      <c r="C435" s="46"/>
      <c r="D435" s="46"/>
      <c r="E435" s="7" t="str">
        <f aca="false">IF(C435="","",IFERROR(INDEX(cl_Regiao,MATCH(C435,cl_Nome,0)),""))</f>
        <v/>
      </c>
      <c r="F435" s="46"/>
      <c r="G435" s="46"/>
      <c r="H435" s="47"/>
      <c r="I435" s="48" t="str">
        <f aca="false">IF(G435="","",IFERROR(INDEX(pr_Prob,MATCH(G435,pr_Etapa,0)),0))</f>
        <v/>
      </c>
      <c r="J435" s="49" t="str">
        <f aca="false">IF(H435="","",H435*I435)</f>
        <v/>
      </c>
      <c r="K435" s="45"/>
      <c r="L435" s="45"/>
      <c r="M435" s="50" t="str">
        <f aca="false">IF(G435="","",IF(G435="Fechado ganho","Ganha",IF(G435="Fechado perdido","Perdida","Aberta")))</f>
        <v/>
      </c>
      <c r="N435" s="51" t="str">
        <f aca="false">IF(B435="","",IF(M435="Aberta",DataRef-B435,IF(L435="","",L435-B435)))</f>
        <v/>
      </c>
      <c r="O435" s="50" t="str">
        <f aca="false">IF(M435&lt;&gt;"Aberta","",IF(AND(K435&lt;&gt;"",K435&lt;DataRef),"Previsão vencida",IF(N435&gt;DiasParada,"Parada","")))</f>
        <v/>
      </c>
    </row>
    <row r="436" customFormat="false" ht="15" hidden="false" customHeight="false" outlineLevel="0" collapsed="false">
      <c r="A436" s="44"/>
      <c r="B436" s="45"/>
      <c r="C436" s="46"/>
      <c r="D436" s="46"/>
      <c r="E436" s="7" t="str">
        <f aca="false">IF(C436="","",IFERROR(INDEX(cl_Regiao,MATCH(C436,cl_Nome,0)),""))</f>
        <v/>
      </c>
      <c r="F436" s="46"/>
      <c r="G436" s="46"/>
      <c r="H436" s="47"/>
      <c r="I436" s="48" t="str">
        <f aca="false">IF(G436="","",IFERROR(INDEX(pr_Prob,MATCH(G436,pr_Etapa,0)),0))</f>
        <v/>
      </c>
      <c r="J436" s="49" t="str">
        <f aca="false">IF(H436="","",H436*I436)</f>
        <v/>
      </c>
      <c r="K436" s="45"/>
      <c r="L436" s="45"/>
      <c r="M436" s="50" t="str">
        <f aca="false">IF(G436="","",IF(G436="Fechado ganho","Ganha",IF(G436="Fechado perdido","Perdida","Aberta")))</f>
        <v/>
      </c>
      <c r="N436" s="51" t="str">
        <f aca="false">IF(B436="","",IF(M436="Aberta",DataRef-B436,IF(L436="","",L436-B436)))</f>
        <v/>
      </c>
      <c r="O436" s="50" t="str">
        <f aca="false">IF(M436&lt;&gt;"Aberta","",IF(AND(K436&lt;&gt;"",K436&lt;DataRef),"Previsão vencida",IF(N436&gt;DiasParada,"Parada","")))</f>
        <v/>
      </c>
    </row>
    <row r="437" customFormat="false" ht="15" hidden="false" customHeight="false" outlineLevel="0" collapsed="false">
      <c r="A437" s="44"/>
      <c r="B437" s="45"/>
      <c r="C437" s="46"/>
      <c r="D437" s="46"/>
      <c r="E437" s="7" t="str">
        <f aca="false">IF(C437="","",IFERROR(INDEX(cl_Regiao,MATCH(C437,cl_Nome,0)),""))</f>
        <v/>
      </c>
      <c r="F437" s="46"/>
      <c r="G437" s="46"/>
      <c r="H437" s="47"/>
      <c r="I437" s="48" t="str">
        <f aca="false">IF(G437="","",IFERROR(INDEX(pr_Prob,MATCH(G437,pr_Etapa,0)),0))</f>
        <v/>
      </c>
      <c r="J437" s="49" t="str">
        <f aca="false">IF(H437="","",H437*I437)</f>
        <v/>
      </c>
      <c r="K437" s="45"/>
      <c r="L437" s="45"/>
      <c r="M437" s="50" t="str">
        <f aca="false">IF(G437="","",IF(G437="Fechado ganho","Ganha",IF(G437="Fechado perdido","Perdida","Aberta")))</f>
        <v/>
      </c>
      <c r="N437" s="51" t="str">
        <f aca="false">IF(B437="","",IF(M437="Aberta",DataRef-B437,IF(L437="","",L437-B437)))</f>
        <v/>
      </c>
      <c r="O437" s="50" t="str">
        <f aca="false">IF(M437&lt;&gt;"Aberta","",IF(AND(K437&lt;&gt;"",K437&lt;DataRef),"Previsão vencida",IF(N437&gt;DiasParada,"Parada","")))</f>
        <v/>
      </c>
    </row>
    <row r="438" customFormat="false" ht="15" hidden="false" customHeight="false" outlineLevel="0" collapsed="false">
      <c r="A438" s="44"/>
      <c r="B438" s="45"/>
      <c r="C438" s="46"/>
      <c r="D438" s="46"/>
      <c r="E438" s="7" t="str">
        <f aca="false">IF(C438="","",IFERROR(INDEX(cl_Regiao,MATCH(C438,cl_Nome,0)),""))</f>
        <v/>
      </c>
      <c r="F438" s="46"/>
      <c r="G438" s="46"/>
      <c r="H438" s="47"/>
      <c r="I438" s="48" t="str">
        <f aca="false">IF(G438="","",IFERROR(INDEX(pr_Prob,MATCH(G438,pr_Etapa,0)),0))</f>
        <v/>
      </c>
      <c r="J438" s="49" t="str">
        <f aca="false">IF(H438="","",H438*I438)</f>
        <v/>
      </c>
      <c r="K438" s="45"/>
      <c r="L438" s="45"/>
      <c r="M438" s="50" t="str">
        <f aca="false">IF(G438="","",IF(G438="Fechado ganho","Ganha",IF(G438="Fechado perdido","Perdida","Aberta")))</f>
        <v/>
      </c>
      <c r="N438" s="51" t="str">
        <f aca="false">IF(B438="","",IF(M438="Aberta",DataRef-B438,IF(L438="","",L438-B438)))</f>
        <v/>
      </c>
      <c r="O438" s="50" t="str">
        <f aca="false">IF(M438&lt;&gt;"Aberta","",IF(AND(K438&lt;&gt;"",K438&lt;DataRef),"Previsão vencida",IF(N438&gt;DiasParada,"Parada","")))</f>
        <v/>
      </c>
    </row>
    <row r="439" customFormat="false" ht="15" hidden="false" customHeight="false" outlineLevel="0" collapsed="false">
      <c r="A439" s="44"/>
      <c r="B439" s="45"/>
      <c r="C439" s="46"/>
      <c r="D439" s="46"/>
      <c r="E439" s="7" t="str">
        <f aca="false">IF(C439="","",IFERROR(INDEX(cl_Regiao,MATCH(C439,cl_Nome,0)),""))</f>
        <v/>
      </c>
      <c r="F439" s="46"/>
      <c r="G439" s="46"/>
      <c r="H439" s="47"/>
      <c r="I439" s="48" t="str">
        <f aca="false">IF(G439="","",IFERROR(INDEX(pr_Prob,MATCH(G439,pr_Etapa,0)),0))</f>
        <v/>
      </c>
      <c r="J439" s="49" t="str">
        <f aca="false">IF(H439="","",H439*I439)</f>
        <v/>
      </c>
      <c r="K439" s="45"/>
      <c r="L439" s="45"/>
      <c r="M439" s="50" t="str">
        <f aca="false">IF(G439="","",IF(G439="Fechado ganho","Ganha",IF(G439="Fechado perdido","Perdida","Aberta")))</f>
        <v/>
      </c>
      <c r="N439" s="51" t="str">
        <f aca="false">IF(B439="","",IF(M439="Aberta",DataRef-B439,IF(L439="","",L439-B439)))</f>
        <v/>
      </c>
      <c r="O439" s="50" t="str">
        <f aca="false">IF(M439&lt;&gt;"Aberta","",IF(AND(K439&lt;&gt;"",K439&lt;DataRef),"Previsão vencida",IF(N439&gt;DiasParada,"Parada","")))</f>
        <v/>
      </c>
    </row>
    <row r="440" customFormat="false" ht="15" hidden="false" customHeight="false" outlineLevel="0" collapsed="false">
      <c r="A440" s="44"/>
      <c r="B440" s="45"/>
      <c r="C440" s="46"/>
      <c r="D440" s="46"/>
      <c r="E440" s="7" t="str">
        <f aca="false">IF(C440="","",IFERROR(INDEX(cl_Regiao,MATCH(C440,cl_Nome,0)),""))</f>
        <v/>
      </c>
      <c r="F440" s="46"/>
      <c r="G440" s="46"/>
      <c r="H440" s="47"/>
      <c r="I440" s="48" t="str">
        <f aca="false">IF(G440="","",IFERROR(INDEX(pr_Prob,MATCH(G440,pr_Etapa,0)),0))</f>
        <v/>
      </c>
      <c r="J440" s="49" t="str">
        <f aca="false">IF(H440="","",H440*I440)</f>
        <v/>
      </c>
      <c r="K440" s="45"/>
      <c r="L440" s="45"/>
      <c r="M440" s="50" t="str">
        <f aca="false">IF(G440="","",IF(G440="Fechado ganho","Ganha",IF(G440="Fechado perdido","Perdida","Aberta")))</f>
        <v/>
      </c>
      <c r="N440" s="51" t="str">
        <f aca="false">IF(B440="","",IF(M440="Aberta",DataRef-B440,IF(L440="","",L440-B440)))</f>
        <v/>
      </c>
      <c r="O440" s="50" t="str">
        <f aca="false">IF(M440&lt;&gt;"Aberta","",IF(AND(K440&lt;&gt;"",K440&lt;DataRef),"Previsão vencida",IF(N440&gt;DiasParada,"Parada","")))</f>
        <v/>
      </c>
    </row>
    <row r="441" customFormat="false" ht="15" hidden="false" customHeight="false" outlineLevel="0" collapsed="false">
      <c r="A441" s="44"/>
      <c r="B441" s="45"/>
      <c r="C441" s="46"/>
      <c r="D441" s="46"/>
      <c r="E441" s="7" t="str">
        <f aca="false">IF(C441="","",IFERROR(INDEX(cl_Regiao,MATCH(C441,cl_Nome,0)),""))</f>
        <v/>
      </c>
      <c r="F441" s="46"/>
      <c r="G441" s="46"/>
      <c r="H441" s="47"/>
      <c r="I441" s="48" t="str">
        <f aca="false">IF(G441="","",IFERROR(INDEX(pr_Prob,MATCH(G441,pr_Etapa,0)),0))</f>
        <v/>
      </c>
      <c r="J441" s="49" t="str">
        <f aca="false">IF(H441="","",H441*I441)</f>
        <v/>
      </c>
      <c r="K441" s="45"/>
      <c r="L441" s="45"/>
      <c r="M441" s="50" t="str">
        <f aca="false">IF(G441="","",IF(G441="Fechado ganho","Ganha",IF(G441="Fechado perdido","Perdida","Aberta")))</f>
        <v/>
      </c>
      <c r="N441" s="51" t="str">
        <f aca="false">IF(B441="","",IF(M441="Aberta",DataRef-B441,IF(L441="","",L441-B441)))</f>
        <v/>
      </c>
      <c r="O441" s="50" t="str">
        <f aca="false">IF(M441&lt;&gt;"Aberta","",IF(AND(K441&lt;&gt;"",K441&lt;DataRef),"Previsão vencida",IF(N441&gt;DiasParada,"Parada","")))</f>
        <v/>
      </c>
    </row>
    <row r="442" customFormat="false" ht="15" hidden="false" customHeight="false" outlineLevel="0" collapsed="false">
      <c r="A442" s="44"/>
      <c r="B442" s="45"/>
      <c r="C442" s="46"/>
      <c r="D442" s="46"/>
      <c r="E442" s="7" t="str">
        <f aca="false">IF(C442="","",IFERROR(INDEX(cl_Regiao,MATCH(C442,cl_Nome,0)),""))</f>
        <v/>
      </c>
      <c r="F442" s="46"/>
      <c r="G442" s="46"/>
      <c r="H442" s="47"/>
      <c r="I442" s="48" t="str">
        <f aca="false">IF(G442="","",IFERROR(INDEX(pr_Prob,MATCH(G442,pr_Etapa,0)),0))</f>
        <v/>
      </c>
      <c r="J442" s="49" t="str">
        <f aca="false">IF(H442="","",H442*I442)</f>
        <v/>
      </c>
      <c r="K442" s="45"/>
      <c r="L442" s="45"/>
      <c r="M442" s="50" t="str">
        <f aca="false">IF(G442="","",IF(G442="Fechado ganho","Ganha",IF(G442="Fechado perdido","Perdida","Aberta")))</f>
        <v/>
      </c>
      <c r="N442" s="51" t="str">
        <f aca="false">IF(B442="","",IF(M442="Aberta",DataRef-B442,IF(L442="","",L442-B442)))</f>
        <v/>
      </c>
      <c r="O442" s="50" t="str">
        <f aca="false">IF(M442&lt;&gt;"Aberta","",IF(AND(K442&lt;&gt;"",K442&lt;DataRef),"Previsão vencida",IF(N442&gt;DiasParada,"Parada","")))</f>
        <v/>
      </c>
    </row>
    <row r="443" customFormat="false" ht="15" hidden="false" customHeight="false" outlineLevel="0" collapsed="false">
      <c r="A443" s="44"/>
      <c r="B443" s="45"/>
      <c r="C443" s="46"/>
      <c r="D443" s="46"/>
      <c r="E443" s="7" t="str">
        <f aca="false">IF(C443="","",IFERROR(INDEX(cl_Regiao,MATCH(C443,cl_Nome,0)),""))</f>
        <v/>
      </c>
      <c r="F443" s="46"/>
      <c r="G443" s="46"/>
      <c r="H443" s="47"/>
      <c r="I443" s="48" t="str">
        <f aca="false">IF(G443="","",IFERROR(INDEX(pr_Prob,MATCH(G443,pr_Etapa,0)),0))</f>
        <v/>
      </c>
      <c r="J443" s="49" t="str">
        <f aca="false">IF(H443="","",H443*I443)</f>
        <v/>
      </c>
      <c r="K443" s="45"/>
      <c r="L443" s="45"/>
      <c r="M443" s="50" t="str">
        <f aca="false">IF(G443="","",IF(G443="Fechado ganho","Ganha",IF(G443="Fechado perdido","Perdida","Aberta")))</f>
        <v/>
      </c>
      <c r="N443" s="51" t="str">
        <f aca="false">IF(B443="","",IF(M443="Aberta",DataRef-B443,IF(L443="","",L443-B443)))</f>
        <v/>
      </c>
      <c r="O443" s="50" t="str">
        <f aca="false">IF(M443&lt;&gt;"Aberta","",IF(AND(K443&lt;&gt;"",K443&lt;DataRef),"Previsão vencida",IF(N443&gt;DiasParada,"Parada","")))</f>
        <v/>
      </c>
    </row>
    <row r="444" customFormat="false" ht="15" hidden="false" customHeight="false" outlineLevel="0" collapsed="false">
      <c r="A444" s="44"/>
      <c r="B444" s="45"/>
      <c r="C444" s="46"/>
      <c r="D444" s="46"/>
      <c r="E444" s="7" t="str">
        <f aca="false">IF(C444="","",IFERROR(INDEX(cl_Regiao,MATCH(C444,cl_Nome,0)),""))</f>
        <v/>
      </c>
      <c r="F444" s="46"/>
      <c r="G444" s="46"/>
      <c r="H444" s="47"/>
      <c r="I444" s="48" t="str">
        <f aca="false">IF(G444="","",IFERROR(INDEX(pr_Prob,MATCH(G444,pr_Etapa,0)),0))</f>
        <v/>
      </c>
      <c r="J444" s="49" t="str">
        <f aca="false">IF(H444="","",H444*I444)</f>
        <v/>
      </c>
      <c r="K444" s="45"/>
      <c r="L444" s="45"/>
      <c r="M444" s="50" t="str">
        <f aca="false">IF(G444="","",IF(G444="Fechado ganho","Ganha",IF(G444="Fechado perdido","Perdida","Aberta")))</f>
        <v/>
      </c>
      <c r="N444" s="51" t="str">
        <f aca="false">IF(B444="","",IF(M444="Aberta",DataRef-B444,IF(L444="","",L444-B444)))</f>
        <v/>
      </c>
      <c r="O444" s="50" t="str">
        <f aca="false">IF(M444&lt;&gt;"Aberta","",IF(AND(K444&lt;&gt;"",K444&lt;DataRef),"Previsão vencida",IF(N444&gt;DiasParada,"Parada","")))</f>
        <v/>
      </c>
    </row>
    <row r="445" customFormat="false" ht="15" hidden="false" customHeight="false" outlineLevel="0" collapsed="false">
      <c r="A445" s="44"/>
      <c r="B445" s="45"/>
      <c r="C445" s="46"/>
      <c r="D445" s="46"/>
      <c r="E445" s="7" t="str">
        <f aca="false">IF(C445="","",IFERROR(INDEX(cl_Regiao,MATCH(C445,cl_Nome,0)),""))</f>
        <v/>
      </c>
      <c r="F445" s="46"/>
      <c r="G445" s="46"/>
      <c r="H445" s="47"/>
      <c r="I445" s="48" t="str">
        <f aca="false">IF(G445="","",IFERROR(INDEX(pr_Prob,MATCH(G445,pr_Etapa,0)),0))</f>
        <v/>
      </c>
      <c r="J445" s="49" t="str">
        <f aca="false">IF(H445="","",H445*I445)</f>
        <v/>
      </c>
      <c r="K445" s="45"/>
      <c r="L445" s="45"/>
      <c r="M445" s="50" t="str">
        <f aca="false">IF(G445="","",IF(G445="Fechado ganho","Ganha",IF(G445="Fechado perdido","Perdida","Aberta")))</f>
        <v/>
      </c>
      <c r="N445" s="51" t="str">
        <f aca="false">IF(B445="","",IF(M445="Aberta",DataRef-B445,IF(L445="","",L445-B445)))</f>
        <v/>
      </c>
      <c r="O445" s="50" t="str">
        <f aca="false">IF(M445&lt;&gt;"Aberta","",IF(AND(K445&lt;&gt;"",K445&lt;DataRef),"Previsão vencida",IF(N445&gt;DiasParada,"Parada","")))</f>
        <v/>
      </c>
    </row>
    <row r="446" customFormat="false" ht="15" hidden="false" customHeight="false" outlineLevel="0" collapsed="false">
      <c r="A446" s="44"/>
      <c r="B446" s="45"/>
      <c r="C446" s="46"/>
      <c r="D446" s="46"/>
      <c r="E446" s="7" t="str">
        <f aca="false">IF(C446="","",IFERROR(INDEX(cl_Regiao,MATCH(C446,cl_Nome,0)),""))</f>
        <v/>
      </c>
      <c r="F446" s="46"/>
      <c r="G446" s="46"/>
      <c r="H446" s="47"/>
      <c r="I446" s="48" t="str">
        <f aca="false">IF(G446="","",IFERROR(INDEX(pr_Prob,MATCH(G446,pr_Etapa,0)),0))</f>
        <v/>
      </c>
      <c r="J446" s="49" t="str">
        <f aca="false">IF(H446="","",H446*I446)</f>
        <v/>
      </c>
      <c r="K446" s="45"/>
      <c r="L446" s="45"/>
      <c r="M446" s="50" t="str">
        <f aca="false">IF(G446="","",IF(G446="Fechado ganho","Ganha",IF(G446="Fechado perdido","Perdida","Aberta")))</f>
        <v/>
      </c>
      <c r="N446" s="51" t="str">
        <f aca="false">IF(B446="","",IF(M446="Aberta",DataRef-B446,IF(L446="","",L446-B446)))</f>
        <v/>
      </c>
      <c r="O446" s="50" t="str">
        <f aca="false">IF(M446&lt;&gt;"Aberta","",IF(AND(K446&lt;&gt;"",K446&lt;DataRef),"Previsão vencida",IF(N446&gt;DiasParada,"Parada","")))</f>
        <v/>
      </c>
    </row>
    <row r="447" customFormat="false" ht="15" hidden="false" customHeight="false" outlineLevel="0" collapsed="false">
      <c r="A447" s="44"/>
      <c r="B447" s="45"/>
      <c r="C447" s="46"/>
      <c r="D447" s="46"/>
      <c r="E447" s="7" t="str">
        <f aca="false">IF(C447="","",IFERROR(INDEX(cl_Regiao,MATCH(C447,cl_Nome,0)),""))</f>
        <v/>
      </c>
      <c r="F447" s="46"/>
      <c r="G447" s="46"/>
      <c r="H447" s="47"/>
      <c r="I447" s="48" t="str">
        <f aca="false">IF(G447="","",IFERROR(INDEX(pr_Prob,MATCH(G447,pr_Etapa,0)),0))</f>
        <v/>
      </c>
      <c r="J447" s="49" t="str">
        <f aca="false">IF(H447="","",H447*I447)</f>
        <v/>
      </c>
      <c r="K447" s="45"/>
      <c r="L447" s="45"/>
      <c r="M447" s="50" t="str">
        <f aca="false">IF(G447="","",IF(G447="Fechado ganho","Ganha",IF(G447="Fechado perdido","Perdida","Aberta")))</f>
        <v/>
      </c>
      <c r="N447" s="51" t="str">
        <f aca="false">IF(B447="","",IF(M447="Aberta",DataRef-B447,IF(L447="","",L447-B447)))</f>
        <v/>
      </c>
      <c r="O447" s="50" t="str">
        <f aca="false">IF(M447&lt;&gt;"Aberta","",IF(AND(K447&lt;&gt;"",K447&lt;DataRef),"Previsão vencida",IF(N447&gt;DiasParada,"Parada","")))</f>
        <v/>
      </c>
    </row>
    <row r="448" customFormat="false" ht="15" hidden="false" customHeight="false" outlineLevel="0" collapsed="false">
      <c r="A448" s="44"/>
      <c r="B448" s="45"/>
      <c r="C448" s="46"/>
      <c r="D448" s="46"/>
      <c r="E448" s="7" t="str">
        <f aca="false">IF(C448="","",IFERROR(INDEX(cl_Regiao,MATCH(C448,cl_Nome,0)),""))</f>
        <v/>
      </c>
      <c r="F448" s="46"/>
      <c r="G448" s="46"/>
      <c r="H448" s="47"/>
      <c r="I448" s="48" t="str">
        <f aca="false">IF(G448="","",IFERROR(INDEX(pr_Prob,MATCH(G448,pr_Etapa,0)),0))</f>
        <v/>
      </c>
      <c r="J448" s="49" t="str">
        <f aca="false">IF(H448="","",H448*I448)</f>
        <v/>
      </c>
      <c r="K448" s="45"/>
      <c r="L448" s="45"/>
      <c r="M448" s="50" t="str">
        <f aca="false">IF(G448="","",IF(G448="Fechado ganho","Ganha",IF(G448="Fechado perdido","Perdida","Aberta")))</f>
        <v/>
      </c>
      <c r="N448" s="51" t="str">
        <f aca="false">IF(B448="","",IF(M448="Aberta",DataRef-B448,IF(L448="","",L448-B448)))</f>
        <v/>
      </c>
      <c r="O448" s="50" t="str">
        <f aca="false">IF(M448&lt;&gt;"Aberta","",IF(AND(K448&lt;&gt;"",K448&lt;DataRef),"Previsão vencida",IF(N448&gt;DiasParada,"Parada","")))</f>
        <v/>
      </c>
    </row>
    <row r="449" customFormat="false" ht="15" hidden="false" customHeight="false" outlineLevel="0" collapsed="false">
      <c r="A449" s="44"/>
      <c r="B449" s="45"/>
      <c r="C449" s="46"/>
      <c r="D449" s="46"/>
      <c r="E449" s="7" t="str">
        <f aca="false">IF(C449="","",IFERROR(INDEX(cl_Regiao,MATCH(C449,cl_Nome,0)),""))</f>
        <v/>
      </c>
      <c r="F449" s="46"/>
      <c r="G449" s="46"/>
      <c r="H449" s="47"/>
      <c r="I449" s="48" t="str">
        <f aca="false">IF(G449="","",IFERROR(INDEX(pr_Prob,MATCH(G449,pr_Etapa,0)),0))</f>
        <v/>
      </c>
      <c r="J449" s="49" t="str">
        <f aca="false">IF(H449="","",H449*I449)</f>
        <v/>
      </c>
      <c r="K449" s="45"/>
      <c r="L449" s="45"/>
      <c r="M449" s="50" t="str">
        <f aca="false">IF(G449="","",IF(G449="Fechado ganho","Ganha",IF(G449="Fechado perdido","Perdida","Aberta")))</f>
        <v/>
      </c>
      <c r="N449" s="51" t="str">
        <f aca="false">IF(B449="","",IF(M449="Aberta",DataRef-B449,IF(L449="","",L449-B449)))</f>
        <v/>
      </c>
      <c r="O449" s="50" t="str">
        <f aca="false">IF(M449&lt;&gt;"Aberta","",IF(AND(K449&lt;&gt;"",K449&lt;DataRef),"Previsão vencida",IF(N449&gt;DiasParada,"Parada","")))</f>
        <v/>
      </c>
    </row>
    <row r="450" customFormat="false" ht="15" hidden="false" customHeight="false" outlineLevel="0" collapsed="false">
      <c r="A450" s="44"/>
      <c r="B450" s="45"/>
      <c r="C450" s="46"/>
      <c r="D450" s="46"/>
      <c r="E450" s="7" t="str">
        <f aca="false">IF(C450="","",IFERROR(INDEX(cl_Regiao,MATCH(C450,cl_Nome,0)),""))</f>
        <v/>
      </c>
      <c r="F450" s="46"/>
      <c r="G450" s="46"/>
      <c r="H450" s="47"/>
      <c r="I450" s="48" t="str">
        <f aca="false">IF(G450="","",IFERROR(INDEX(pr_Prob,MATCH(G450,pr_Etapa,0)),0))</f>
        <v/>
      </c>
      <c r="J450" s="49" t="str">
        <f aca="false">IF(H450="","",H450*I450)</f>
        <v/>
      </c>
      <c r="K450" s="45"/>
      <c r="L450" s="45"/>
      <c r="M450" s="50" t="str">
        <f aca="false">IF(G450="","",IF(G450="Fechado ganho","Ganha",IF(G450="Fechado perdido","Perdida","Aberta")))</f>
        <v/>
      </c>
      <c r="N450" s="51" t="str">
        <f aca="false">IF(B450="","",IF(M450="Aberta",DataRef-B450,IF(L450="","",L450-B450)))</f>
        <v/>
      </c>
      <c r="O450" s="50" t="str">
        <f aca="false">IF(M450&lt;&gt;"Aberta","",IF(AND(K450&lt;&gt;"",K450&lt;DataRef),"Previsão vencida",IF(N450&gt;DiasParada,"Parada","")))</f>
        <v/>
      </c>
    </row>
    <row r="451" customFormat="false" ht="15" hidden="false" customHeight="false" outlineLevel="0" collapsed="false">
      <c r="A451" s="44"/>
      <c r="B451" s="45"/>
      <c r="C451" s="46"/>
      <c r="D451" s="46"/>
      <c r="E451" s="7" t="str">
        <f aca="false">IF(C451="","",IFERROR(INDEX(cl_Regiao,MATCH(C451,cl_Nome,0)),""))</f>
        <v/>
      </c>
      <c r="F451" s="46"/>
      <c r="G451" s="46"/>
      <c r="H451" s="47"/>
      <c r="I451" s="48" t="str">
        <f aca="false">IF(G451="","",IFERROR(INDEX(pr_Prob,MATCH(G451,pr_Etapa,0)),0))</f>
        <v/>
      </c>
      <c r="J451" s="49" t="str">
        <f aca="false">IF(H451="","",H451*I451)</f>
        <v/>
      </c>
      <c r="K451" s="45"/>
      <c r="L451" s="45"/>
      <c r="M451" s="50" t="str">
        <f aca="false">IF(G451="","",IF(G451="Fechado ganho","Ganha",IF(G451="Fechado perdido","Perdida","Aberta")))</f>
        <v/>
      </c>
      <c r="N451" s="51" t="str">
        <f aca="false">IF(B451="","",IF(M451="Aberta",DataRef-B451,IF(L451="","",L451-B451)))</f>
        <v/>
      </c>
      <c r="O451" s="50" t="str">
        <f aca="false">IF(M451&lt;&gt;"Aberta","",IF(AND(K451&lt;&gt;"",K451&lt;DataRef),"Previsão vencida",IF(N451&gt;DiasParada,"Parada","")))</f>
        <v/>
      </c>
    </row>
    <row r="452" customFormat="false" ht="15" hidden="false" customHeight="false" outlineLevel="0" collapsed="false">
      <c r="A452" s="44"/>
      <c r="B452" s="45"/>
      <c r="C452" s="46"/>
      <c r="D452" s="46"/>
      <c r="E452" s="7" t="str">
        <f aca="false">IF(C452="","",IFERROR(INDEX(cl_Regiao,MATCH(C452,cl_Nome,0)),""))</f>
        <v/>
      </c>
      <c r="F452" s="46"/>
      <c r="G452" s="46"/>
      <c r="H452" s="47"/>
      <c r="I452" s="48" t="str">
        <f aca="false">IF(G452="","",IFERROR(INDEX(pr_Prob,MATCH(G452,pr_Etapa,0)),0))</f>
        <v/>
      </c>
      <c r="J452" s="49" t="str">
        <f aca="false">IF(H452="","",H452*I452)</f>
        <v/>
      </c>
      <c r="K452" s="45"/>
      <c r="L452" s="45"/>
      <c r="M452" s="50" t="str">
        <f aca="false">IF(G452="","",IF(G452="Fechado ganho","Ganha",IF(G452="Fechado perdido","Perdida","Aberta")))</f>
        <v/>
      </c>
      <c r="N452" s="51" t="str">
        <f aca="false">IF(B452="","",IF(M452="Aberta",DataRef-B452,IF(L452="","",L452-B452)))</f>
        <v/>
      </c>
      <c r="O452" s="50" t="str">
        <f aca="false">IF(M452&lt;&gt;"Aberta","",IF(AND(K452&lt;&gt;"",K452&lt;DataRef),"Previsão vencida",IF(N452&gt;DiasParada,"Parada","")))</f>
        <v/>
      </c>
    </row>
    <row r="453" customFormat="false" ht="15" hidden="false" customHeight="false" outlineLevel="0" collapsed="false">
      <c r="A453" s="44"/>
      <c r="B453" s="45"/>
      <c r="C453" s="46"/>
      <c r="D453" s="46"/>
      <c r="E453" s="7" t="str">
        <f aca="false">IF(C453="","",IFERROR(INDEX(cl_Regiao,MATCH(C453,cl_Nome,0)),""))</f>
        <v/>
      </c>
      <c r="F453" s="46"/>
      <c r="G453" s="46"/>
      <c r="H453" s="47"/>
      <c r="I453" s="48" t="str">
        <f aca="false">IF(G453="","",IFERROR(INDEX(pr_Prob,MATCH(G453,pr_Etapa,0)),0))</f>
        <v/>
      </c>
      <c r="J453" s="49" t="str">
        <f aca="false">IF(H453="","",H453*I453)</f>
        <v/>
      </c>
      <c r="K453" s="45"/>
      <c r="L453" s="45"/>
      <c r="M453" s="50" t="str">
        <f aca="false">IF(G453="","",IF(G453="Fechado ganho","Ganha",IF(G453="Fechado perdido","Perdida","Aberta")))</f>
        <v/>
      </c>
      <c r="N453" s="51" t="str">
        <f aca="false">IF(B453="","",IF(M453="Aberta",DataRef-B453,IF(L453="","",L453-B453)))</f>
        <v/>
      </c>
      <c r="O453" s="50" t="str">
        <f aca="false">IF(M453&lt;&gt;"Aberta","",IF(AND(K453&lt;&gt;"",K453&lt;DataRef),"Previsão vencida",IF(N453&gt;DiasParada,"Parada","")))</f>
        <v/>
      </c>
    </row>
    <row r="454" customFormat="false" ht="15" hidden="false" customHeight="false" outlineLevel="0" collapsed="false">
      <c r="A454" s="44"/>
      <c r="B454" s="45"/>
      <c r="C454" s="46"/>
      <c r="D454" s="46"/>
      <c r="E454" s="7" t="str">
        <f aca="false">IF(C454="","",IFERROR(INDEX(cl_Regiao,MATCH(C454,cl_Nome,0)),""))</f>
        <v/>
      </c>
      <c r="F454" s="46"/>
      <c r="G454" s="46"/>
      <c r="H454" s="47"/>
      <c r="I454" s="48" t="str">
        <f aca="false">IF(G454="","",IFERROR(INDEX(pr_Prob,MATCH(G454,pr_Etapa,0)),0))</f>
        <v/>
      </c>
      <c r="J454" s="49" t="str">
        <f aca="false">IF(H454="","",H454*I454)</f>
        <v/>
      </c>
      <c r="K454" s="45"/>
      <c r="L454" s="45"/>
      <c r="M454" s="50" t="str">
        <f aca="false">IF(G454="","",IF(G454="Fechado ganho","Ganha",IF(G454="Fechado perdido","Perdida","Aberta")))</f>
        <v/>
      </c>
      <c r="N454" s="51" t="str">
        <f aca="false">IF(B454="","",IF(M454="Aberta",DataRef-B454,IF(L454="","",L454-B454)))</f>
        <v/>
      </c>
      <c r="O454" s="50" t="str">
        <f aca="false">IF(M454&lt;&gt;"Aberta","",IF(AND(K454&lt;&gt;"",K454&lt;DataRef),"Previsão vencida",IF(N454&gt;DiasParada,"Parada","")))</f>
        <v/>
      </c>
    </row>
    <row r="455" customFormat="false" ht="15" hidden="false" customHeight="false" outlineLevel="0" collapsed="false">
      <c r="A455" s="44"/>
      <c r="B455" s="45"/>
      <c r="C455" s="46"/>
      <c r="D455" s="46"/>
      <c r="E455" s="7" t="str">
        <f aca="false">IF(C455="","",IFERROR(INDEX(cl_Regiao,MATCH(C455,cl_Nome,0)),""))</f>
        <v/>
      </c>
      <c r="F455" s="46"/>
      <c r="G455" s="46"/>
      <c r="H455" s="47"/>
      <c r="I455" s="48" t="str">
        <f aca="false">IF(G455="","",IFERROR(INDEX(pr_Prob,MATCH(G455,pr_Etapa,0)),0))</f>
        <v/>
      </c>
      <c r="J455" s="49" t="str">
        <f aca="false">IF(H455="","",H455*I455)</f>
        <v/>
      </c>
      <c r="K455" s="45"/>
      <c r="L455" s="45"/>
      <c r="M455" s="50" t="str">
        <f aca="false">IF(G455="","",IF(G455="Fechado ganho","Ganha",IF(G455="Fechado perdido","Perdida","Aberta")))</f>
        <v/>
      </c>
      <c r="N455" s="51" t="str">
        <f aca="false">IF(B455="","",IF(M455="Aberta",DataRef-B455,IF(L455="","",L455-B455)))</f>
        <v/>
      </c>
      <c r="O455" s="50" t="str">
        <f aca="false">IF(M455&lt;&gt;"Aberta","",IF(AND(K455&lt;&gt;"",K455&lt;DataRef),"Previsão vencida",IF(N455&gt;DiasParada,"Parada","")))</f>
        <v/>
      </c>
    </row>
    <row r="456" customFormat="false" ht="15" hidden="false" customHeight="false" outlineLevel="0" collapsed="false">
      <c r="A456" s="44"/>
      <c r="B456" s="45"/>
      <c r="C456" s="46"/>
      <c r="D456" s="46"/>
      <c r="E456" s="7" t="str">
        <f aca="false">IF(C456="","",IFERROR(INDEX(cl_Regiao,MATCH(C456,cl_Nome,0)),""))</f>
        <v/>
      </c>
      <c r="F456" s="46"/>
      <c r="G456" s="46"/>
      <c r="H456" s="47"/>
      <c r="I456" s="48" t="str">
        <f aca="false">IF(G456="","",IFERROR(INDEX(pr_Prob,MATCH(G456,pr_Etapa,0)),0))</f>
        <v/>
      </c>
      <c r="J456" s="49" t="str">
        <f aca="false">IF(H456="","",H456*I456)</f>
        <v/>
      </c>
      <c r="K456" s="45"/>
      <c r="L456" s="45"/>
      <c r="M456" s="50" t="str">
        <f aca="false">IF(G456="","",IF(G456="Fechado ganho","Ganha",IF(G456="Fechado perdido","Perdida","Aberta")))</f>
        <v/>
      </c>
      <c r="N456" s="51" t="str">
        <f aca="false">IF(B456="","",IF(M456="Aberta",DataRef-B456,IF(L456="","",L456-B456)))</f>
        <v/>
      </c>
      <c r="O456" s="50" t="str">
        <f aca="false">IF(M456&lt;&gt;"Aberta","",IF(AND(K456&lt;&gt;"",K456&lt;DataRef),"Previsão vencida",IF(N456&gt;DiasParada,"Parada","")))</f>
        <v/>
      </c>
    </row>
    <row r="457" customFormat="false" ht="15" hidden="false" customHeight="false" outlineLevel="0" collapsed="false">
      <c r="A457" s="44"/>
      <c r="B457" s="45"/>
      <c r="C457" s="46"/>
      <c r="D457" s="46"/>
      <c r="E457" s="7" t="str">
        <f aca="false">IF(C457="","",IFERROR(INDEX(cl_Regiao,MATCH(C457,cl_Nome,0)),""))</f>
        <v/>
      </c>
      <c r="F457" s="46"/>
      <c r="G457" s="46"/>
      <c r="H457" s="47"/>
      <c r="I457" s="48" t="str">
        <f aca="false">IF(G457="","",IFERROR(INDEX(pr_Prob,MATCH(G457,pr_Etapa,0)),0))</f>
        <v/>
      </c>
      <c r="J457" s="49" t="str">
        <f aca="false">IF(H457="","",H457*I457)</f>
        <v/>
      </c>
      <c r="K457" s="45"/>
      <c r="L457" s="45"/>
      <c r="M457" s="50" t="str">
        <f aca="false">IF(G457="","",IF(G457="Fechado ganho","Ganha",IF(G457="Fechado perdido","Perdida","Aberta")))</f>
        <v/>
      </c>
      <c r="N457" s="51" t="str">
        <f aca="false">IF(B457="","",IF(M457="Aberta",DataRef-B457,IF(L457="","",L457-B457)))</f>
        <v/>
      </c>
      <c r="O457" s="50" t="str">
        <f aca="false">IF(M457&lt;&gt;"Aberta","",IF(AND(K457&lt;&gt;"",K457&lt;DataRef),"Previsão vencida",IF(N457&gt;DiasParada,"Parada","")))</f>
        <v/>
      </c>
    </row>
    <row r="458" customFormat="false" ht="15" hidden="false" customHeight="false" outlineLevel="0" collapsed="false">
      <c r="A458" s="44"/>
      <c r="B458" s="45"/>
      <c r="C458" s="46"/>
      <c r="D458" s="46"/>
      <c r="E458" s="7" t="str">
        <f aca="false">IF(C458="","",IFERROR(INDEX(cl_Regiao,MATCH(C458,cl_Nome,0)),""))</f>
        <v/>
      </c>
      <c r="F458" s="46"/>
      <c r="G458" s="46"/>
      <c r="H458" s="47"/>
      <c r="I458" s="48" t="str">
        <f aca="false">IF(G458="","",IFERROR(INDEX(pr_Prob,MATCH(G458,pr_Etapa,0)),0))</f>
        <v/>
      </c>
      <c r="J458" s="49" t="str">
        <f aca="false">IF(H458="","",H458*I458)</f>
        <v/>
      </c>
      <c r="K458" s="45"/>
      <c r="L458" s="45"/>
      <c r="M458" s="50" t="str">
        <f aca="false">IF(G458="","",IF(G458="Fechado ganho","Ganha",IF(G458="Fechado perdido","Perdida","Aberta")))</f>
        <v/>
      </c>
      <c r="N458" s="51" t="str">
        <f aca="false">IF(B458="","",IF(M458="Aberta",DataRef-B458,IF(L458="","",L458-B458)))</f>
        <v/>
      </c>
      <c r="O458" s="50" t="str">
        <f aca="false">IF(M458&lt;&gt;"Aberta","",IF(AND(K458&lt;&gt;"",K458&lt;DataRef),"Previsão vencida",IF(N458&gt;DiasParada,"Parada","")))</f>
        <v/>
      </c>
    </row>
    <row r="459" customFormat="false" ht="15" hidden="false" customHeight="false" outlineLevel="0" collapsed="false">
      <c r="A459" s="44"/>
      <c r="B459" s="45"/>
      <c r="C459" s="46"/>
      <c r="D459" s="46"/>
      <c r="E459" s="7" t="str">
        <f aca="false">IF(C459="","",IFERROR(INDEX(cl_Regiao,MATCH(C459,cl_Nome,0)),""))</f>
        <v/>
      </c>
      <c r="F459" s="46"/>
      <c r="G459" s="46"/>
      <c r="H459" s="47"/>
      <c r="I459" s="48" t="str">
        <f aca="false">IF(G459="","",IFERROR(INDEX(pr_Prob,MATCH(G459,pr_Etapa,0)),0))</f>
        <v/>
      </c>
      <c r="J459" s="49" t="str">
        <f aca="false">IF(H459="","",H459*I459)</f>
        <v/>
      </c>
      <c r="K459" s="45"/>
      <c r="L459" s="45"/>
      <c r="M459" s="50" t="str">
        <f aca="false">IF(G459="","",IF(G459="Fechado ganho","Ganha",IF(G459="Fechado perdido","Perdida","Aberta")))</f>
        <v/>
      </c>
      <c r="N459" s="51" t="str">
        <f aca="false">IF(B459="","",IF(M459="Aberta",DataRef-B459,IF(L459="","",L459-B459)))</f>
        <v/>
      </c>
      <c r="O459" s="50" t="str">
        <f aca="false">IF(M459&lt;&gt;"Aberta","",IF(AND(K459&lt;&gt;"",K459&lt;DataRef),"Previsão vencida",IF(N459&gt;DiasParada,"Parada","")))</f>
        <v/>
      </c>
    </row>
    <row r="460" customFormat="false" ht="15" hidden="false" customHeight="false" outlineLevel="0" collapsed="false">
      <c r="A460" s="44"/>
      <c r="B460" s="45"/>
      <c r="C460" s="46"/>
      <c r="D460" s="46"/>
      <c r="E460" s="7" t="str">
        <f aca="false">IF(C460="","",IFERROR(INDEX(cl_Regiao,MATCH(C460,cl_Nome,0)),""))</f>
        <v/>
      </c>
      <c r="F460" s="46"/>
      <c r="G460" s="46"/>
      <c r="H460" s="47"/>
      <c r="I460" s="48" t="str">
        <f aca="false">IF(G460="","",IFERROR(INDEX(pr_Prob,MATCH(G460,pr_Etapa,0)),0))</f>
        <v/>
      </c>
      <c r="J460" s="49" t="str">
        <f aca="false">IF(H460="","",H460*I460)</f>
        <v/>
      </c>
      <c r="K460" s="45"/>
      <c r="L460" s="45"/>
      <c r="M460" s="50" t="str">
        <f aca="false">IF(G460="","",IF(G460="Fechado ganho","Ganha",IF(G460="Fechado perdido","Perdida","Aberta")))</f>
        <v/>
      </c>
      <c r="N460" s="51" t="str">
        <f aca="false">IF(B460="","",IF(M460="Aberta",DataRef-B460,IF(L460="","",L460-B460)))</f>
        <v/>
      </c>
      <c r="O460" s="50" t="str">
        <f aca="false">IF(M460&lt;&gt;"Aberta","",IF(AND(K460&lt;&gt;"",K460&lt;DataRef),"Previsão vencida",IF(N460&gt;DiasParada,"Parada","")))</f>
        <v/>
      </c>
    </row>
    <row r="461" customFormat="false" ht="15" hidden="false" customHeight="false" outlineLevel="0" collapsed="false">
      <c r="A461" s="44"/>
      <c r="B461" s="45"/>
      <c r="C461" s="46"/>
      <c r="D461" s="46"/>
      <c r="E461" s="7" t="str">
        <f aca="false">IF(C461="","",IFERROR(INDEX(cl_Regiao,MATCH(C461,cl_Nome,0)),""))</f>
        <v/>
      </c>
      <c r="F461" s="46"/>
      <c r="G461" s="46"/>
      <c r="H461" s="47"/>
      <c r="I461" s="48" t="str">
        <f aca="false">IF(G461="","",IFERROR(INDEX(pr_Prob,MATCH(G461,pr_Etapa,0)),0))</f>
        <v/>
      </c>
      <c r="J461" s="49" t="str">
        <f aca="false">IF(H461="","",H461*I461)</f>
        <v/>
      </c>
      <c r="K461" s="45"/>
      <c r="L461" s="45"/>
      <c r="M461" s="50" t="str">
        <f aca="false">IF(G461="","",IF(G461="Fechado ganho","Ganha",IF(G461="Fechado perdido","Perdida","Aberta")))</f>
        <v/>
      </c>
      <c r="N461" s="51" t="str">
        <f aca="false">IF(B461="","",IF(M461="Aberta",DataRef-B461,IF(L461="","",L461-B461)))</f>
        <v/>
      </c>
      <c r="O461" s="50" t="str">
        <f aca="false">IF(M461&lt;&gt;"Aberta","",IF(AND(K461&lt;&gt;"",K461&lt;DataRef),"Previsão vencida",IF(N461&gt;DiasParada,"Parada","")))</f>
        <v/>
      </c>
    </row>
    <row r="462" customFormat="false" ht="15" hidden="false" customHeight="false" outlineLevel="0" collapsed="false">
      <c r="A462" s="44"/>
      <c r="B462" s="45"/>
      <c r="C462" s="46"/>
      <c r="D462" s="46"/>
      <c r="E462" s="7" t="str">
        <f aca="false">IF(C462="","",IFERROR(INDEX(cl_Regiao,MATCH(C462,cl_Nome,0)),""))</f>
        <v/>
      </c>
      <c r="F462" s="46"/>
      <c r="G462" s="46"/>
      <c r="H462" s="47"/>
      <c r="I462" s="48" t="str">
        <f aca="false">IF(G462="","",IFERROR(INDEX(pr_Prob,MATCH(G462,pr_Etapa,0)),0))</f>
        <v/>
      </c>
      <c r="J462" s="49" t="str">
        <f aca="false">IF(H462="","",H462*I462)</f>
        <v/>
      </c>
      <c r="K462" s="45"/>
      <c r="L462" s="45"/>
      <c r="M462" s="50" t="str">
        <f aca="false">IF(G462="","",IF(G462="Fechado ganho","Ganha",IF(G462="Fechado perdido","Perdida","Aberta")))</f>
        <v/>
      </c>
      <c r="N462" s="51" t="str">
        <f aca="false">IF(B462="","",IF(M462="Aberta",DataRef-B462,IF(L462="","",L462-B462)))</f>
        <v/>
      </c>
      <c r="O462" s="50" t="str">
        <f aca="false">IF(M462&lt;&gt;"Aberta","",IF(AND(K462&lt;&gt;"",K462&lt;DataRef),"Previsão vencida",IF(N462&gt;DiasParada,"Parada","")))</f>
        <v/>
      </c>
    </row>
    <row r="463" customFormat="false" ht="15" hidden="false" customHeight="false" outlineLevel="0" collapsed="false">
      <c r="A463" s="44"/>
      <c r="B463" s="45"/>
      <c r="C463" s="46"/>
      <c r="D463" s="46"/>
      <c r="E463" s="7" t="str">
        <f aca="false">IF(C463="","",IFERROR(INDEX(cl_Regiao,MATCH(C463,cl_Nome,0)),""))</f>
        <v/>
      </c>
      <c r="F463" s="46"/>
      <c r="G463" s="46"/>
      <c r="H463" s="47"/>
      <c r="I463" s="48" t="str">
        <f aca="false">IF(G463="","",IFERROR(INDEX(pr_Prob,MATCH(G463,pr_Etapa,0)),0))</f>
        <v/>
      </c>
      <c r="J463" s="49" t="str">
        <f aca="false">IF(H463="","",H463*I463)</f>
        <v/>
      </c>
      <c r="K463" s="45"/>
      <c r="L463" s="45"/>
      <c r="M463" s="50" t="str">
        <f aca="false">IF(G463="","",IF(G463="Fechado ganho","Ganha",IF(G463="Fechado perdido","Perdida","Aberta")))</f>
        <v/>
      </c>
      <c r="N463" s="51" t="str">
        <f aca="false">IF(B463="","",IF(M463="Aberta",DataRef-B463,IF(L463="","",L463-B463)))</f>
        <v/>
      </c>
      <c r="O463" s="50" t="str">
        <f aca="false">IF(M463&lt;&gt;"Aberta","",IF(AND(K463&lt;&gt;"",K463&lt;DataRef),"Previsão vencida",IF(N463&gt;DiasParada,"Parada","")))</f>
        <v/>
      </c>
    </row>
    <row r="464" customFormat="false" ht="15" hidden="false" customHeight="false" outlineLevel="0" collapsed="false">
      <c r="A464" s="44"/>
      <c r="B464" s="45"/>
      <c r="C464" s="46"/>
      <c r="D464" s="46"/>
      <c r="E464" s="7" t="str">
        <f aca="false">IF(C464="","",IFERROR(INDEX(cl_Regiao,MATCH(C464,cl_Nome,0)),""))</f>
        <v/>
      </c>
      <c r="F464" s="46"/>
      <c r="G464" s="46"/>
      <c r="H464" s="47"/>
      <c r="I464" s="48" t="str">
        <f aca="false">IF(G464="","",IFERROR(INDEX(pr_Prob,MATCH(G464,pr_Etapa,0)),0))</f>
        <v/>
      </c>
      <c r="J464" s="49" t="str">
        <f aca="false">IF(H464="","",H464*I464)</f>
        <v/>
      </c>
      <c r="K464" s="45"/>
      <c r="L464" s="45"/>
      <c r="M464" s="50" t="str">
        <f aca="false">IF(G464="","",IF(G464="Fechado ganho","Ganha",IF(G464="Fechado perdido","Perdida","Aberta")))</f>
        <v/>
      </c>
      <c r="N464" s="51" t="str">
        <f aca="false">IF(B464="","",IF(M464="Aberta",DataRef-B464,IF(L464="","",L464-B464)))</f>
        <v/>
      </c>
      <c r="O464" s="50" t="str">
        <f aca="false">IF(M464&lt;&gt;"Aberta","",IF(AND(K464&lt;&gt;"",K464&lt;DataRef),"Previsão vencida",IF(N464&gt;DiasParada,"Parada","")))</f>
        <v/>
      </c>
    </row>
    <row r="465" customFormat="false" ht="15" hidden="false" customHeight="false" outlineLevel="0" collapsed="false">
      <c r="A465" s="44"/>
      <c r="B465" s="45"/>
      <c r="C465" s="46"/>
      <c r="D465" s="46"/>
      <c r="E465" s="7" t="str">
        <f aca="false">IF(C465="","",IFERROR(INDEX(cl_Regiao,MATCH(C465,cl_Nome,0)),""))</f>
        <v/>
      </c>
      <c r="F465" s="46"/>
      <c r="G465" s="46"/>
      <c r="H465" s="47"/>
      <c r="I465" s="48" t="str">
        <f aca="false">IF(G465="","",IFERROR(INDEX(pr_Prob,MATCH(G465,pr_Etapa,0)),0))</f>
        <v/>
      </c>
      <c r="J465" s="49" t="str">
        <f aca="false">IF(H465="","",H465*I465)</f>
        <v/>
      </c>
      <c r="K465" s="45"/>
      <c r="L465" s="45"/>
      <c r="M465" s="50" t="str">
        <f aca="false">IF(G465="","",IF(G465="Fechado ganho","Ganha",IF(G465="Fechado perdido","Perdida","Aberta")))</f>
        <v/>
      </c>
      <c r="N465" s="51" t="str">
        <f aca="false">IF(B465="","",IF(M465="Aberta",DataRef-B465,IF(L465="","",L465-B465)))</f>
        <v/>
      </c>
      <c r="O465" s="50" t="str">
        <f aca="false">IF(M465&lt;&gt;"Aberta","",IF(AND(K465&lt;&gt;"",K465&lt;DataRef),"Previsão vencida",IF(N465&gt;DiasParada,"Parada","")))</f>
        <v/>
      </c>
    </row>
    <row r="466" customFormat="false" ht="15" hidden="false" customHeight="false" outlineLevel="0" collapsed="false">
      <c r="A466" s="44"/>
      <c r="B466" s="45"/>
      <c r="C466" s="46"/>
      <c r="D466" s="46"/>
      <c r="E466" s="7" t="str">
        <f aca="false">IF(C466="","",IFERROR(INDEX(cl_Regiao,MATCH(C466,cl_Nome,0)),""))</f>
        <v/>
      </c>
      <c r="F466" s="46"/>
      <c r="G466" s="46"/>
      <c r="H466" s="47"/>
      <c r="I466" s="48" t="str">
        <f aca="false">IF(G466="","",IFERROR(INDEX(pr_Prob,MATCH(G466,pr_Etapa,0)),0))</f>
        <v/>
      </c>
      <c r="J466" s="49" t="str">
        <f aca="false">IF(H466="","",H466*I466)</f>
        <v/>
      </c>
      <c r="K466" s="45"/>
      <c r="L466" s="45"/>
      <c r="M466" s="50" t="str">
        <f aca="false">IF(G466="","",IF(G466="Fechado ganho","Ganha",IF(G466="Fechado perdido","Perdida","Aberta")))</f>
        <v/>
      </c>
      <c r="N466" s="51" t="str">
        <f aca="false">IF(B466="","",IF(M466="Aberta",DataRef-B466,IF(L466="","",L466-B466)))</f>
        <v/>
      </c>
      <c r="O466" s="50" t="str">
        <f aca="false">IF(M466&lt;&gt;"Aberta","",IF(AND(K466&lt;&gt;"",K466&lt;DataRef),"Previsão vencida",IF(N466&gt;DiasParada,"Parada","")))</f>
        <v/>
      </c>
    </row>
    <row r="467" customFormat="false" ht="15" hidden="false" customHeight="false" outlineLevel="0" collapsed="false">
      <c r="A467" s="44"/>
      <c r="B467" s="45"/>
      <c r="C467" s="46"/>
      <c r="D467" s="46"/>
      <c r="E467" s="7" t="str">
        <f aca="false">IF(C467="","",IFERROR(INDEX(cl_Regiao,MATCH(C467,cl_Nome,0)),""))</f>
        <v/>
      </c>
      <c r="F467" s="46"/>
      <c r="G467" s="46"/>
      <c r="H467" s="47"/>
      <c r="I467" s="48" t="str">
        <f aca="false">IF(G467="","",IFERROR(INDEX(pr_Prob,MATCH(G467,pr_Etapa,0)),0))</f>
        <v/>
      </c>
      <c r="J467" s="49" t="str">
        <f aca="false">IF(H467="","",H467*I467)</f>
        <v/>
      </c>
      <c r="K467" s="45"/>
      <c r="L467" s="45"/>
      <c r="M467" s="50" t="str">
        <f aca="false">IF(G467="","",IF(G467="Fechado ganho","Ganha",IF(G467="Fechado perdido","Perdida","Aberta")))</f>
        <v/>
      </c>
      <c r="N467" s="51" t="str">
        <f aca="false">IF(B467="","",IF(M467="Aberta",DataRef-B467,IF(L467="","",L467-B467)))</f>
        <v/>
      </c>
      <c r="O467" s="50" t="str">
        <f aca="false">IF(M467&lt;&gt;"Aberta","",IF(AND(K467&lt;&gt;"",K467&lt;DataRef),"Previsão vencida",IF(N467&gt;DiasParada,"Parada","")))</f>
        <v/>
      </c>
    </row>
    <row r="468" customFormat="false" ht="15" hidden="false" customHeight="false" outlineLevel="0" collapsed="false">
      <c r="A468" s="44"/>
      <c r="B468" s="45"/>
      <c r="C468" s="46"/>
      <c r="D468" s="46"/>
      <c r="E468" s="7" t="str">
        <f aca="false">IF(C468="","",IFERROR(INDEX(cl_Regiao,MATCH(C468,cl_Nome,0)),""))</f>
        <v/>
      </c>
      <c r="F468" s="46"/>
      <c r="G468" s="46"/>
      <c r="H468" s="47"/>
      <c r="I468" s="48" t="str">
        <f aca="false">IF(G468="","",IFERROR(INDEX(pr_Prob,MATCH(G468,pr_Etapa,0)),0))</f>
        <v/>
      </c>
      <c r="J468" s="49" t="str">
        <f aca="false">IF(H468="","",H468*I468)</f>
        <v/>
      </c>
      <c r="K468" s="45"/>
      <c r="L468" s="45"/>
      <c r="M468" s="50" t="str">
        <f aca="false">IF(G468="","",IF(G468="Fechado ganho","Ganha",IF(G468="Fechado perdido","Perdida","Aberta")))</f>
        <v/>
      </c>
      <c r="N468" s="51" t="str">
        <f aca="false">IF(B468="","",IF(M468="Aberta",DataRef-B468,IF(L468="","",L468-B468)))</f>
        <v/>
      </c>
      <c r="O468" s="50" t="str">
        <f aca="false">IF(M468&lt;&gt;"Aberta","",IF(AND(K468&lt;&gt;"",K468&lt;DataRef),"Previsão vencida",IF(N468&gt;DiasParada,"Parada","")))</f>
        <v/>
      </c>
    </row>
    <row r="469" customFormat="false" ht="15" hidden="false" customHeight="false" outlineLevel="0" collapsed="false">
      <c r="A469" s="44"/>
      <c r="B469" s="45"/>
      <c r="C469" s="46"/>
      <c r="D469" s="46"/>
      <c r="E469" s="7" t="str">
        <f aca="false">IF(C469="","",IFERROR(INDEX(cl_Regiao,MATCH(C469,cl_Nome,0)),""))</f>
        <v/>
      </c>
      <c r="F469" s="46"/>
      <c r="G469" s="46"/>
      <c r="H469" s="47"/>
      <c r="I469" s="48" t="str">
        <f aca="false">IF(G469="","",IFERROR(INDEX(pr_Prob,MATCH(G469,pr_Etapa,0)),0))</f>
        <v/>
      </c>
      <c r="J469" s="49" t="str">
        <f aca="false">IF(H469="","",H469*I469)</f>
        <v/>
      </c>
      <c r="K469" s="45"/>
      <c r="L469" s="45"/>
      <c r="M469" s="50" t="str">
        <f aca="false">IF(G469="","",IF(G469="Fechado ganho","Ganha",IF(G469="Fechado perdido","Perdida","Aberta")))</f>
        <v/>
      </c>
      <c r="N469" s="51" t="str">
        <f aca="false">IF(B469="","",IF(M469="Aberta",DataRef-B469,IF(L469="","",L469-B469)))</f>
        <v/>
      </c>
      <c r="O469" s="50" t="str">
        <f aca="false">IF(M469&lt;&gt;"Aberta","",IF(AND(K469&lt;&gt;"",K469&lt;DataRef),"Previsão vencida",IF(N469&gt;DiasParada,"Parada","")))</f>
        <v/>
      </c>
    </row>
    <row r="470" customFormat="false" ht="15" hidden="false" customHeight="false" outlineLevel="0" collapsed="false">
      <c r="A470" s="44"/>
      <c r="B470" s="45"/>
      <c r="C470" s="46"/>
      <c r="D470" s="46"/>
      <c r="E470" s="7" t="str">
        <f aca="false">IF(C470="","",IFERROR(INDEX(cl_Regiao,MATCH(C470,cl_Nome,0)),""))</f>
        <v/>
      </c>
      <c r="F470" s="46"/>
      <c r="G470" s="46"/>
      <c r="H470" s="47"/>
      <c r="I470" s="48" t="str">
        <f aca="false">IF(G470="","",IFERROR(INDEX(pr_Prob,MATCH(G470,pr_Etapa,0)),0))</f>
        <v/>
      </c>
      <c r="J470" s="49" t="str">
        <f aca="false">IF(H470="","",H470*I470)</f>
        <v/>
      </c>
      <c r="K470" s="45"/>
      <c r="L470" s="45"/>
      <c r="M470" s="50" t="str">
        <f aca="false">IF(G470="","",IF(G470="Fechado ganho","Ganha",IF(G470="Fechado perdido","Perdida","Aberta")))</f>
        <v/>
      </c>
      <c r="N470" s="51" t="str">
        <f aca="false">IF(B470="","",IF(M470="Aberta",DataRef-B470,IF(L470="","",L470-B470)))</f>
        <v/>
      </c>
      <c r="O470" s="50" t="str">
        <f aca="false">IF(M470&lt;&gt;"Aberta","",IF(AND(K470&lt;&gt;"",K470&lt;DataRef),"Previsão vencida",IF(N470&gt;DiasParada,"Parada","")))</f>
        <v/>
      </c>
    </row>
    <row r="471" customFormat="false" ht="15" hidden="false" customHeight="false" outlineLevel="0" collapsed="false">
      <c r="A471" s="44"/>
      <c r="B471" s="45"/>
      <c r="C471" s="46"/>
      <c r="D471" s="46"/>
      <c r="E471" s="7" t="str">
        <f aca="false">IF(C471="","",IFERROR(INDEX(cl_Regiao,MATCH(C471,cl_Nome,0)),""))</f>
        <v/>
      </c>
      <c r="F471" s="46"/>
      <c r="G471" s="46"/>
      <c r="H471" s="47"/>
      <c r="I471" s="48" t="str">
        <f aca="false">IF(G471="","",IFERROR(INDEX(pr_Prob,MATCH(G471,pr_Etapa,0)),0))</f>
        <v/>
      </c>
      <c r="J471" s="49" t="str">
        <f aca="false">IF(H471="","",H471*I471)</f>
        <v/>
      </c>
      <c r="K471" s="45"/>
      <c r="L471" s="45"/>
      <c r="M471" s="50" t="str">
        <f aca="false">IF(G471="","",IF(G471="Fechado ganho","Ganha",IF(G471="Fechado perdido","Perdida","Aberta")))</f>
        <v/>
      </c>
      <c r="N471" s="51" t="str">
        <f aca="false">IF(B471="","",IF(M471="Aberta",DataRef-B471,IF(L471="","",L471-B471)))</f>
        <v/>
      </c>
      <c r="O471" s="50" t="str">
        <f aca="false">IF(M471&lt;&gt;"Aberta","",IF(AND(K471&lt;&gt;"",K471&lt;DataRef),"Previsão vencida",IF(N471&gt;DiasParada,"Parada","")))</f>
        <v/>
      </c>
    </row>
    <row r="472" customFormat="false" ht="15" hidden="false" customHeight="false" outlineLevel="0" collapsed="false">
      <c r="A472" s="44"/>
      <c r="B472" s="45"/>
      <c r="C472" s="46"/>
      <c r="D472" s="46"/>
      <c r="E472" s="7" t="str">
        <f aca="false">IF(C472="","",IFERROR(INDEX(cl_Regiao,MATCH(C472,cl_Nome,0)),""))</f>
        <v/>
      </c>
      <c r="F472" s="46"/>
      <c r="G472" s="46"/>
      <c r="H472" s="47"/>
      <c r="I472" s="48" t="str">
        <f aca="false">IF(G472="","",IFERROR(INDEX(pr_Prob,MATCH(G472,pr_Etapa,0)),0))</f>
        <v/>
      </c>
      <c r="J472" s="49" t="str">
        <f aca="false">IF(H472="","",H472*I472)</f>
        <v/>
      </c>
      <c r="K472" s="45"/>
      <c r="L472" s="45"/>
      <c r="M472" s="50" t="str">
        <f aca="false">IF(G472="","",IF(G472="Fechado ganho","Ganha",IF(G472="Fechado perdido","Perdida","Aberta")))</f>
        <v/>
      </c>
      <c r="N472" s="51" t="str">
        <f aca="false">IF(B472="","",IF(M472="Aberta",DataRef-B472,IF(L472="","",L472-B472)))</f>
        <v/>
      </c>
      <c r="O472" s="50" t="str">
        <f aca="false">IF(M472&lt;&gt;"Aberta","",IF(AND(K472&lt;&gt;"",K472&lt;DataRef),"Previsão vencida",IF(N472&gt;DiasParada,"Parada","")))</f>
        <v/>
      </c>
    </row>
    <row r="473" customFormat="false" ht="15" hidden="false" customHeight="false" outlineLevel="0" collapsed="false">
      <c r="A473" s="44"/>
      <c r="B473" s="45"/>
      <c r="C473" s="46"/>
      <c r="D473" s="46"/>
      <c r="E473" s="7" t="str">
        <f aca="false">IF(C473="","",IFERROR(INDEX(cl_Regiao,MATCH(C473,cl_Nome,0)),""))</f>
        <v/>
      </c>
      <c r="F473" s="46"/>
      <c r="G473" s="46"/>
      <c r="H473" s="47"/>
      <c r="I473" s="48" t="str">
        <f aca="false">IF(G473="","",IFERROR(INDEX(pr_Prob,MATCH(G473,pr_Etapa,0)),0))</f>
        <v/>
      </c>
      <c r="J473" s="49" t="str">
        <f aca="false">IF(H473="","",H473*I473)</f>
        <v/>
      </c>
      <c r="K473" s="45"/>
      <c r="L473" s="45"/>
      <c r="M473" s="50" t="str">
        <f aca="false">IF(G473="","",IF(G473="Fechado ganho","Ganha",IF(G473="Fechado perdido","Perdida","Aberta")))</f>
        <v/>
      </c>
      <c r="N473" s="51" t="str">
        <f aca="false">IF(B473="","",IF(M473="Aberta",DataRef-B473,IF(L473="","",L473-B473)))</f>
        <v/>
      </c>
      <c r="O473" s="50" t="str">
        <f aca="false">IF(M473&lt;&gt;"Aberta","",IF(AND(K473&lt;&gt;"",K473&lt;DataRef),"Previsão vencida",IF(N473&gt;DiasParada,"Parada","")))</f>
        <v/>
      </c>
    </row>
    <row r="474" customFormat="false" ht="15" hidden="false" customHeight="false" outlineLevel="0" collapsed="false">
      <c r="A474" s="44"/>
      <c r="B474" s="45"/>
      <c r="C474" s="46"/>
      <c r="D474" s="46"/>
      <c r="E474" s="7" t="str">
        <f aca="false">IF(C474="","",IFERROR(INDEX(cl_Regiao,MATCH(C474,cl_Nome,0)),""))</f>
        <v/>
      </c>
      <c r="F474" s="46"/>
      <c r="G474" s="46"/>
      <c r="H474" s="47"/>
      <c r="I474" s="48" t="str">
        <f aca="false">IF(G474="","",IFERROR(INDEX(pr_Prob,MATCH(G474,pr_Etapa,0)),0))</f>
        <v/>
      </c>
      <c r="J474" s="49" t="str">
        <f aca="false">IF(H474="","",H474*I474)</f>
        <v/>
      </c>
      <c r="K474" s="45"/>
      <c r="L474" s="45"/>
      <c r="M474" s="50" t="str">
        <f aca="false">IF(G474="","",IF(G474="Fechado ganho","Ganha",IF(G474="Fechado perdido","Perdida","Aberta")))</f>
        <v/>
      </c>
      <c r="N474" s="51" t="str">
        <f aca="false">IF(B474="","",IF(M474="Aberta",DataRef-B474,IF(L474="","",L474-B474)))</f>
        <v/>
      </c>
      <c r="O474" s="50" t="str">
        <f aca="false">IF(M474&lt;&gt;"Aberta","",IF(AND(K474&lt;&gt;"",K474&lt;DataRef),"Previsão vencida",IF(N474&gt;DiasParada,"Parada","")))</f>
        <v/>
      </c>
    </row>
    <row r="475" customFormat="false" ht="15" hidden="false" customHeight="false" outlineLevel="0" collapsed="false">
      <c r="A475" s="44"/>
      <c r="B475" s="45"/>
      <c r="C475" s="46"/>
      <c r="D475" s="46"/>
      <c r="E475" s="7" t="str">
        <f aca="false">IF(C475="","",IFERROR(INDEX(cl_Regiao,MATCH(C475,cl_Nome,0)),""))</f>
        <v/>
      </c>
      <c r="F475" s="46"/>
      <c r="G475" s="46"/>
      <c r="H475" s="47"/>
      <c r="I475" s="48" t="str">
        <f aca="false">IF(G475="","",IFERROR(INDEX(pr_Prob,MATCH(G475,pr_Etapa,0)),0))</f>
        <v/>
      </c>
      <c r="J475" s="49" t="str">
        <f aca="false">IF(H475="","",H475*I475)</f>
        <v/>
      </c>
      <c r="K475" s="45"/>
      <c r="L475" s="45"/>
      <c r="M475" s="50" t="str">
        <f aca="false">IF(G475="","",IF(G475="Fechado ganho","Ganha",IF(G475="Fechado perdido","Perdida","Aberta")))</f>
        <v/>
      </c>
      <c r="N475" s="51" t="str">
        <f aca="false">IF(B475="","",IF(M475="Aberta",DataRef-B475,IF(L475="","",L475-B475)))</f>
        <v/>
      </c>
      <c r="O475" s="50" t="str">
        <f aca="false">IF(M475&lt;&gt;"Aberta","",IF(AND(K475&lt;&gt;"",K475&lt;DataRef),"Previsão vencida",IF(N475&gt;DiasParada,"Parada","")))</f>
        <v/>
      </c>
    </row>
    <row r="476" customFormat="false" ht="15" hidden="false" customHeight="false" outlineLevel="0" collapsed="false">
      <c r="A476" s="44"/>
      <c r="B476" s="45"/>
      <c r="C476" s="46"/>
      <c r="D476" s="46"/>
      <c r="E476" s="7" t="str">
        <f aca="false">IF(C476="","",IFERROR(INDEX(cl_Regiao,MATCH(C476,cl_Nome,0)),""))</f>
        <v/>
      </c>
      <c r="F476" s="46"/>
      <c r="G476" s="46"/>
      <c r="H476" s="47"/>
      <c r="I476" s="48" t="str">
        <f aca="false">IF(G476="","",IFERROR(INDEX(pr_Prob,MATCH(G476,pr_Etapa,0)),0))</f>
        <v/>
      </c>
      <c r="J476" s="49" t="str">
        <f aca="false">IF(H476="","",H476*I476)</f>
        <v/>
      </c>
      <c r="K476" s="45"/>
      <c r="L476" s="45"/>
      <c r="M476" s="50" t="str">
        <f aca="false">IF(G476="","",IF(G476="Fechado ganho","Ganha",IF(G476="Fechado perdido","Perdida","Aberta")))</f>
        <v/>
      </c>
      <c r="N476" s="51" t="str">
        <f aca="false">IF(B476="","",IF(M476="Aberta",DataRef-B476,IF(L476="","",L476-B476)))</f>
        <v/>
      </c>
      <c r="O476" s="50" t="str">
        <f aca="false">IF(M476&lt;&gt;"Aberta","",IF(AND(K476&lt;&gt;"",K476&lt;DataRef),"Previsão vencida",IF(N476&gt;DiasParada,"Parada","")))</f>
        <v/>
      </c>
    </row>
    <row r="477" customFormat="false" ht="15" hidden="false" customHeight="false" outlineLevel="0" collapsed="false">
      <c r="A477" s="44"/>
      <c r="B477" s="45"/>
      <c r="C477" s="46"/>
      <c r="D477" s="46"/>
      <c r="E477" s="7" t="str">
        <f aca="false">IF(C477="","",IFERROR(INDEX(cl_Regiao,MATCH(C477,cl_Nome,0)),""))</f>
        <v/>
      </c>
      <c r="F477" s="46"/>
      <c r="G477" s="46"/>
      <c r="H477" s="47"/>
      <c r="I477" s="48" t="str">
        <f aca="false">IF(G477="","",IFERROR(INDEX(pr_Prob,MATCH(G477,pr_Etapa,0)),0))</f>
        <v/>
      </c>
      <c r="J477" s="49" t="str">
        <f aca="false">IF(H477="","",H477*I477)</f>
        <v/>
      </c>
      <c r="K477" s="45"/>
      <c r="L477" s="45"/>
      <c r="M477" s="50" t="str">
        <f aca="false">IF(G477="","",IF(G477="Fechado ganho","Ganha",IF(G477="Fechado perdido","Perdida","Aberta")))</f>
        <v/>
      </c>
      <c r="N477" s="51" t="str">
        <f aca="false">IF(B477="","",IF(M477="Aberta",DataRef-B477,IF(L477="","",L477-B477)))</f>
        <v/>
      </c>
      <c r="O477" s="50" t="str">
        <f aca="false">IF(M477&lt;&gt;"Aberta","",IF(AND(K477&lt;&gt;"",K477&lt;DataRef),"Previsão vencida",IF(N477&gt;DiasParada,"Parada","")))</f>
        <v/>
      </c>
    </row>
    <row r="478" customFormat="false" ht="15" hidden="false" customHeight="false" outlineLevel="0" collapsed="false">
      <c r="A478" s="44"/>
      <c r="B478" s="45"/>
      <c r="C478" s="46"/>
      <c r="D478" s="46"/>
      <c r="E478" s="7" t="str">
        <f aca="false">IF(C478="","",IFERROR(INDEX(cl_Regiao,MATCH(C478,cl_Nome,0)),""))</f>
        <v/>
      </c>
      <c r="F478" s="46"/>
      <c r="G478" s="46"/>
      <c r="H478" s="47"/>
      <c r="I478" s="48" t="str">
        <f aca="false">IF(G478="","",IFERROR(INDEX(pr_Prob,MATCH(G478,pr_Etapa,0)),0))</f>
        <v/>
      </c>
      <c r="J478" s="49" t="str">
        <f aca="false">IF(H478="","",H478*I478)</f>
        <v/>
      </c>
      <c r="K478" s="45"/>
      <c r="L478" s="45"/>
      <c r="M478" s="50" t="str">
        <f aca="false">IF(G478="","",IF(G478="Fechado ganho","Ganha",IF(G478="Fechado perdido","Perdida","Aberta")))</f>
        <v/>
      </c>
      <c r="N478" s="51" t="str">
        <f aca="false">IF(B478="","",IF(M478="Aberta",DataRef-B478,IF(L478="","",L478-B478)))</f>
        <v/>
      </c>
      <c r="O478" s="50" t="str">
        <f aca="false">IF(M478&lt;&gt;"Aberta","",IF(AND(K478&lt;&gt;"",K478&lt;DataRef),"Previsão vencida",IF(N478&gt;DiasParada,"Parada","")))</f>
        <v/>
      </c>
    </row>
    <row r="479" customFormat="false" ht="15" hidden="false" customHeight="false" outlineLevel="0" collapsed="false">
      <c r="A479" s="44"/>
      <c r="B479" s="45"/>
      <c r="C479" s="46"/>
      <c r="D479" s="46"/>
      <c r="E479" s="7" t="str">
        <f aca="false">IF(C479="","",IFERROR(INDEX(cl_Regiao,MATCH(C479,cl_Nome,0)),""))</f>
        <v/>
      </c>
      <c r="F479" s="46"/>
      <c r="G479" s="46"/>
      <c r="H479" s="47"/>
      <c r="I479" s="48" t="str">
        <f aca="false">IF(G479="","",IFERROR(INDEX(pr_Prob,MATCH(G479,pr_Etapa,0)),0))</f>
        <v/>
      </c>
      <c r="J479" s="49" t="str">
        <f aca="false">IF(H479="","",H479*I479)</f>
        <v/>
      </c>
      <c r="K479" s="45"/>
      <c r="L479" s="45"/>
      <c r="M479" s="50" t="str">
        <f aca="false">IF(G479="","",IF(G479="Fechado ganho","Ganha",IF(G479="Fechado perdido","Perdida","Aberta")))</f>
        <v/>
      </c>
      <c r="N479" s="51" t="str">
        <f aca="false">IF(B479="","",IF(M479="Aberta",DataRef-B479,IF(L479="","",L479-B479)))</f>
        <v/>
      </c>
      <c r="O479" s="50" t="str">
        <f aca="false">IF(M479&lt;&gt;"Aberta","",IF(AND(K479&lt;&gt;"",K479&lt;DataRef),"Previsão vencida",IF(N479&gt;DiasParada,"Parada","")))</f>
        <v/>
      </c>
    </row>
    <row r="480" customFormat="false" ht="15" hidden="false" customHeight="false" outlineLevel="0" collapsed="false">
      <c r="A480" s="44"/>
      <c r="B480" s="45"/>
      <c r="C480" s="46"/>
      <c r="D480" s="46"/>
      <c r="E480" s="7" t="str">
        <f aca="false">IF(C480="","",IFERROR(INDEX(cl_Regiao,MATCH(C480,cl_Nome,0)),""))</f>
        <v/>
      </c>
      <c r="F480" s="46"/>
      <c r="G480" s="46"/>
      <c r="H480" s="47"/>
      <c r="I480" s="48" t="str">
        <f aca="false">IF(G480="","",IFERROR(INDEX(pr_Prob,MATCH(G480,pr_Etapa,0)),0))</f>
        <v/>
      </c>
      <c r="J480" s="49" t="str">
        <f aca="false">IF(H480="","",H480*I480)</f>
        <v/>
      </c>
      <c r="K480" s="45"/>
      <c r="L480" s="45"/>
      <c r="M480" s="50" t="str">
        <f aca="false">IF(G480="","",IF(G480="Fechado ganho","Ganha",IF(G480="Fechado perdido","Perdida","Aberta")))</f>
        <v/>
      </c>
      <c r="N480" s="51" t="str">
        <f aca="false">IF(B480="","",IF(M480="Aberta",DataRef-B480,IF(L480="","",L480-B480)))</f>
        <v/>
      </c>
      <c r="O480" s="50" t="str">
        <f aca="false">IF(M480&lt;&gt;"Aberta","",IF(AND(K480&lt;&gt;"",K480&lt;DataRef),"Previsão vencida",IF(N480&gt;DiasParada,"Parada","")))</f>
        <v/>
      </c>
    </row>
    <row r="481" customFormat="false" ht="15" hidden="false" customHeight="false" outlineLevel="0" collapsed="false">
      <c r="A481" s="44"/>
      <c r="B481" s="45"/>
      <c r="C481" s="46"/>
      <c r="D481" s="46"/>
      <c r="E481" s="7" t="str">
        <f aca="false">IF(C481="","",IFERROR(INDEX(cl_Regiao,MATCH(C481,cl_Nome,0)),""))</f>
        <v/>
      </c>
      <c r="F481" s="46"/>
      <c r="G481" s="46"/>
      <c r="H481" s="47"/>
      <c r="I481" s="48" t="str">
        <f aca="false">IF(G481="","",IFERROR(INDEX(pr_Prob,MATCH(G481,pr_Etapa,0)),0))</f>
        <v/>
      </c>
      <c r="J481" s="49" t="str">
        <f aca="false">IF(H481="","",H481*I481)</f>
        <v/>
      </c>
      <c r="K481" s="45"/>
      <c r="L481" s="45"/>
      <c r="M481" s="50" t="str">
        <f aca="false">IF(G481="","",IF(G481="Fechado ganho","Ganha",IF(G481="Fechado perdido","Perdida","Aberta")))</f>
        <v/>
      </c>
      <c r="N481" s="51" t="str">
        <f aca="false">IF(B481="","",IF(M481="Aberta",DataRef-B481,IF(L481="","",L481-B481)))</f>
        <v/>
      </c>
      <c r="O481" s="50" t="str">
        <f aca="false">IF(M481&lt;&gt;"Aberta","",IF(AND(K481&lt;&gt;"",K481&lt;DataRef),"Previsão vencida",IF(N481&gt;DiasParada,"Parada","")))</f>
        <v/>
      </c>
    </row>
    <row r="482" customFormat="false" ht="15" hidden="false" customHeight="false" outlineLevel="0" collapsed="false">
      <c r="A482" s="44"/>
      <c r="B482" s="45"/>
      <c r="C482" s="46"/>
      <c r="D482" s="46"/>
      <c r="E482" s="7" t="str">
        <f aca="false">IF(C482="","",IFERROR(INDEX(cl_Regiao,MATCH(C482,cl_Nome,0)),""))</f>
        <v/>
      </c>
      <c r="F482" s="46"/>
      <c r="G482" s="46"/>
      <c r="H482" s="47"/>
      <c r="I482" s="48" t="str">
        <f aca="false">IF(G482="","",IFERROR(INDEX(pr_Prob,MATCH(G482,pr_Etapa,0)),0))</f>
        <v/>
      </c>
      <c r="J482" s="49" t="str">
        <f aca="false">IF(H482="","",H482*I482)</f>
        <v/>
      </c>
      <c r="K482" s="45"/>
      <c r="L482" s="45"/>
      <c r="M482" s="50" t="str">
        <f aca="false">IF(G482="","",IF(G482="Fechado ganho","Ganha",IF(G482="Fechado perdido","Perdida","Aberta")))</f>
        <v/>
      </c>
      <c r="N482" s="51" t="str">
        <f aca="false">IF(B482="","",IF(M482="Aberta",DataRef-B482,IF(L482="","",L482-B482)))</f>
        <v/>
      </c>
      <c r="O482" s="50" t="str">
        <f aca="false">IF(M482&lt;&gt;"Aberta","",IF(AND(K482&lt;&gt;"",K482&lt;DataRef),"Previsão vencida",IF(N482&gt;DiasParada,"Parada","")))</f>
        <v/>
      </c>
    </row>
    <row r="483" customFormat="false" ht="15" hidden="false" customHeight="false" outlineLevel="0" collapsed="false">
      <c r="A483" s="44"/>
      <c r="B483" s="45"/>
      <c r="C483" s="46"/>
      <c r="D483" s="46"/>
      <c r="E483" s="7" t="str">
        <f aca="false">IF(C483="","",IFERROR(INDEX(cl_Regiao,MATCH(C483,cl_Nome,0)),""))</f>
        <v/>
      </c>
      <c r="F483" s="46"/>
      <c r="G483" s="46"/>
      <c r="H483" s="47"/>
      <c r="I483" s="48" t="str">
        <f aca="false">IF(G483="","",IFERROR(INDEX(pr_Prob,MATCH(G483,pr_Etapa,0)),0))</f>
        <v/>
      </c>
      <c r="J483" s="49" t="str">
        <f aca="false">IF(H483="","",H483*I483)</f>
        <v/>
      </c>
      <c r="K483" s="45"/>
      <c r="L483" s="45"/>
      <c r="M483" s="50" t="str">
        <f aca="false">IF(G483="","",IF(G483="Fechado ganho","Ganha",IF(G483="Fechado perdido","Perdida","Aberta")))</f>
        <v/>
      </c>
      <c r="N483" s="51" t="str">
        <f aca="false">IF(B483="","",IF(M483="Aberta",DataRef-B483,IF(L483="","",L483-B483)))</f>
        <v/>
      </c>
      <c r="O483" s="50" t="str">
        <f aca="false">IF(M483&lt;&gt;"Aberta","",IF(AND(K483&lt;&gt;"",K483&lt;DataRef),"Previsão vencida",IF(N483&gt;DiasParada,"Parada","")))</f>
        <v/>
      </c>
    </row>
    <row r="484" customFormat="false" ht="15" hidden="false" customHeight="false" outlineLevel="0" collapsed="false">
      <c r="A484" s="44"/>
      <c r="B484" s="45"/>
      <c r="C484" s="46"/>
      <c r="D484" s="46"/>
      <c r="E484" s="7" t="str">
        <f aca="false">IF(C484="","",IFERROR(INDEX(cl_Regiao,MATCH(C484,cl_Nome,0)),""))</f>
        <v/>
      </c>
      <c r="F484" s="46"/>
      <c r="G484" s="46"/>
      <c r="H484" s="47"/>
      <c r="I484" s="48" t="str">
        <f aca="false">IF(G484="","",IFERROR(INDEX(pr_Prob,MATCH(G484,pr_Etapa,0)),0))</f>
        <v/>
      </c>
      <c r="J484" s="49" t="str">
        <f aca="false">IF(H484="","",H484*I484)</f>
        <v/>
      </c>
      <c r="K484" s="45"/>
      <c r="L484" s="45"/>
      <c r="M484" s="50" t="str">
        <f aca="false">IF(G484="","",IF(G484="Fechado ganho","Ganha",IF(G484="Fechado perdido","Perdida","Aberta")))</f>
        <v/>
      </c>
      <c r="N484" s="51" t="str">
        <f aca="false">IF(B484="","",IF(M484="Aberta",DataRef-B484,IF(L484="","",L484-B484)))</f>
        <v/>
      </c>
      <c r="O484" s="50" t="str">
        <f aca="false">IF(M484&lt;&gt;"Aberta","",IF(AND(K484&lt;&gt;"",K484&lt;DataRef),"Previsão vencida",IF(N484&gt;DiasParada,"Parada","")))</f>
        <v/>
      </c>
    </row>
    <row r="485" customFormat="false" ht="15" hidden="false" customHeight="false" outlineLevel="0" collapsed="false">
      <c r="A485" s="44"/>
      <c r="B485" s="45"/>
      <c r="C485" s="46"/>
      <c r="D485" s="46"/>
      <c r="E485" s="7" t="str">
        <f aca="false">IF(C485="","",IFERROR(INDEX(cl_Regiao,MATCH(C485,cl_Nome,0)),""))</f>
        <v/>
      </c>
      <c r="F485" s="46"/>
      <c r="G485" s="46"/>
      <c r="H485" s="47"/>
      <c r="I485" s="48" t="str">
        <f aca="false">IF(G485="","",IFERROR(INDEX(pr_Prob,MATCH(G485,pr_Etapa,0)),0))</f>
        <v/>
      </c>
      <c r="J485" s="49" t="str">
        <f aca="false">IF(H485="","",H485*I485)</f>
        <v/>
      </c>
      <c r="K485" s="45"/>
      <c r="L485" s="45"/>
      <c r="M485" s="50" t="str">
        <f aca="false">IF(G485="","",IF(G485="Fechado ganho","Ganha",IF(G485="Fechado perdido","Perdida","Aberta")))</f>
        <v/>
      </c>
      <c r="N485" s="51" t="str">
        <f aca="false">IF(B485="","",IF(M485="Aberta",DataRef-B485,IF(L485="","",L485-B485)))</f>
        <v/>
      </c>
      <c r="O485" s="50" t="str">
        <f aca="false">IF(M485&lt;&gt;"Aberta","",IF(AND(K485&lt;&gt;"",K485&lt;DataRef),"Previsão vencida",IF(N485&gt;DiasParada,"Parada","")))</f>
        <v/>
      </c>
    </row>
    <row r="486" customFormat="false" ht="15" hidden="false" customHeight="false" outlineLevel="0" collapsed="false">
      <c r="A486" s="44"/>
      <c r="B486" s="45"/>
      <c r="C486" s="46"/>
      <c r="D486" s="46"/>
      <c r="E486" s="7" t="str">
        <f aca="false">IF(C486="","",IFERROR(INDEX(cl_Regiao,MATCH(C486,cl_Nome,0)),""))</f>
        <v/>
      </c>
      <c r="F486" s="46"/>
      <c r="G486" s="46"/>
      <c r="H486" s="47"/>
      <c r="I486" s="48" t="str">
        <f aca="false">IF(G486="","",IFERROR(INDEX(pr_Prob,MATCH(G486,pr_Etapa,0)),0))</f>
        <v/>
      </c>
      <c r="J486" s="49" t="str">
        <f aca="false">IF(H486="","",H486*I486)</f>
        <v/>
      </c>
      <c r="K486" s="45"/>
      <c r="L486" s="45"/>
      <c r="M486" s="50" t="str">
        <f aca="false">IF(G486="","",IF(G486="Fechado ganho","Ganha",IF(G486="Fechado perdido","Perdida","Aberta")))</f>
        <v/>
      </c>
      <c r="N486" s="51" t="str">
        <f aca="false">IF(B486="","",IF(M486="Aberta",DataRef-B486,IF(L486="","",L486-B486)))</f>
        <v/>
      </c>
      <c r="O486" s="50" t="str">
        <f aca="false">IF(M486&lt;&gt;"Aberta","",IF(AND(K486&lt;&gt;"",K486&lt;DataRef),"Previsão vencida",IF(N486&gt;DiasParada,"Parada","")))</f>
        <v/>
      </c>
    </row>
    <row r="487" customFormat="false" ht="15" hidden="false" customHeight="false" outlineLevel="0" collapsed="false">
      <c r="A487" s="44"/>
      <c r="B487" s="45"/>
      <c r="C487" s="46"/>
      <c r="D487" s="46"/>
      <c r="E487" s="7" t="str">
        <f aca="false">IF(C487="","",IFERROR(INDEX(cl_Regiao,MATCH(C487,cl_Nome,0)),""))</f>
        <v/>
      </c>
      <c r="F487" s="46"/>
      <c r="G487" s="46"/>
      <c r="H487" s="47"/>
      <c r="I487" s="48" t="str">
        <f aca="false">IF(G487="","",IFERROR(INDEX(pr_Prob,MATCH(G487,pr_Etapa,0)),0))</f>
        <v/>
      </c>
      <c r="J487" s="49" t="str">
        <f aca="false">IF(H487="","",H487*I487)</f>
        <v/>
      </c>
      <c r="K487" s="45"/>
      <c r="L487" s="45"/>
      <c r="M487" s="50" t="str">
        <f aca="false">IF(G487="","",IF(G487="Fechado ganho","Ganha",IF(G487="Fechado perdido","Perdida","Aberta")))</f>
        <v/>
      </c>
      <c r="N487" s="51" t="str">
        <f aca="false">IF(B487="","",IF(M487="Aberta",DataRef-B487,IF(L487="","",L487-B487)))</f>
        <v/>
      </c>
      <c r="O487" s="50" t="str">
        <f aca="false">IF(M487&lt;&gt;"Aberta","",IF(AND(K487&lt;&gt;"",K487&lt;DataRef),"Previsão vencida",IF(N487&gt;DiasParada,"Parada","")))</f>
        <v/>
      </c>
    </row>
    <row r="488" customFormat="false" ht="15" hidden="false" customHeight="false" outlineLevel="0" collapsed="false">
      <c r="A488" s="44"/>
      <c r="B488" s="45"/>
      <c r="C488" s="46"/>
      <c r="D488" s="46"/>
      <c r="E488" s="7" t="str">
        <f aca="false">IF(C488="","",IFERROR(INDEX(cl_Regiao,MATCH(C488,cl_Nome,0)),""))</f>
        <v/>
      </c>
      <c r="F488" s="46"/>
      <c r="G488" s="46"/>
      <c r="H488" s="47"/>
      <c r="I488" s="48" t="str">
        <f aca="false">IF(G488="","",IFERROR(INDEX(pr_Prob,MATCH(G488,pr_Etapa,0)),0))</f>
        <v/>
      </c>
      <c r="J488" s="49" t="str">
        <f aca="false">IF(H488="","",H488*I488)</f>
        <v/>
      </c>
      <c r="K488" s="45"/>
      <c r="L488" s="45"/>
      <c r="M488" s="50" t="str">
        <f aca="false">IF(G488="","",IF(G488="Fechado ganho","Ganha",IF(G488="Fechado perdido","Perdida","Aberta")))</f>
        <v/>
      </c>
      <c r="N488" s="51" t="str">
        <f aca="false">IF(B488="","",IF(M488="Aberta",DataRef-B488,IF(L488="","",L488-B488)))</f>
        <v/>
      </c>
      <c r="O488" s="50" t="str">
        <f aca="false">IF(M488&lt;&gt;"Aberta","",IF(AND(K488&lt;&gt;"",K488&lt;DataRef),"Previsão vencida",IF(N488&gt;DiasParada,"Parada","")))</f>
        <v/>
      </c>
    </row>
    <row r="489" customFormat="false" ht="15" hidden="false" customHeight="false" outlineLevel="0" collapsed="false">
      <c r="A489" s="44"/>
      <c r="B489" s="45"/>
      <c r="C489" s="46"/>
      <c r="D489" s="46"/>
      <c r="E489" s="7" t="str">
        <f aca="false">IF(C489="","",IFERROR(INDEX(cl_Regiao,MATCH(C489,cl_Nome,0)),""))</f>
        <v/>
      </c>
      <c r="F489" s="46"/>
      <c r="G489" s="46"/>
      <c r="H489" s="47"/>
      <c r="I489" s="48" t="str">
        <f aca="false">IF(G489="","",IFERROR(INDEX(pr_Prob,MATCH(G489,pr_Etapa,0)),0))</f>
        <v/>
      </c>
      <c r="J489" s="49" t="str">
        <f aca="false">IF(H489="","",H489*I489)</f>
        <v/>
      </c>
      <c r="K489" s="45"/>
      <c r="L489" s="45"/>
      <c r="M489" s="50" t="str">
        <f aca="false">IF(G489="","",IF(G489="Fechado ganho","Ganha",IF(G489="Fechado perdido","Perdida","Aberta")))</f>
        <v/>
      </c>
      <c r="N489" s="51" t="str">
        <f aca="false">IF(B489="","",IF(M489="Aberta",DataRef-B489,IF(L489="","",L489-B489)))</f>
        <v/>
      </c>
      <c r="O489" s="50" t="str">
        <f aca="false">IF(M489&lt;&gt;"Aberta","",IF(AND(K489&lt;&gt;"",K489&lt;DataRef),"Previsão vencida",IF(N489&gt;DiasParada,"Parada","")))</f>
        <v/>
      </c>
    </row>
    <row r="490" customFormat="false" ht="15" hidden="false" customHeight="false" outlineLevel="0" collapsed="false">
      <c r="A490" s="44"/>
      <c r="B490" s="45"/>
      <c r="C490" s="46"/>
      <c r="D490" s="46"/>
      <c r="E490" s="7" t="str">
        <f aca="false">IF(C490="","",IFERROR(INDEX(cl_Regiao,MATCH(C490,cl_Nome,0)),""))</f>
        <v/>
      </c>
      <c r="F490" s="46"/>
      <c r="G490" s="46"/>
      <c r="H490" s="47"/>
      <c r="I490" s="48" t="str">
        <f aca="false">IF(G490="","",IFERROR(INDEX(pr_Prob,MATCH(G490,pr_Etapa,0)),0))</f>
        <v/>
      </c>
      <c r="J490" s="49" t="str">
        <f aca="false">IF(H490="","",H490*I490)</f>
        <v/>
      </c>
      <c r="K490" s="45"/>
      <c r="L490" s="45"/>
      <c r="M490" s="50" t="str">
        <f aca="false">IF(G490="","",IF(G490="Fechado ganho","Ganha",IF(G490="Fechado perdido","Perdida","Aberta")))</f>
        <v/>
      </c>
      <c r="N490" s="51" t="str">
        <f aca="false">IF(B490="","",IF(M490="Aberta",DataRef-B490,IF(L490="","",L490-B490)))</f>
        <v/>
      </c>
      <c r="O490" s="50" t="str">
        <f aca="false">IF(M490&lt;&gt;"Aberta","",IF(AND(K490&lt;&gt;"",K490&lt;DataRef),"Previsão vencida",IF(N490&gt;DiasParada,"Parada","")))</f>
        <v/>
      </c>
    </row>
    <row r="491" customFormat="false" ht="15" hidden="false" customHeight="false" outlineLevel="0" collapsed="false">
      <c r="A491" s="44"/>
      <c r="B491" s="45"/>
      <c r="C491" s="46"/>
      <c r="D491" s="46"/>
      <c r="E491" s="7" t="str">
        <f aca="false">IF(C491="","",IFERROR(INDEX(cl_Regiao,MATCH(C491,cl_Nome,0)),""))</f>
        <v/>
      </c>
      <c r="F491" s="46"/>
      <c r="G491" s="46"/>
      <c r="H491" s="47"/>
      <c r="I491" s="48" t="str">
        <f aca="false">IF(G491="","",IFERROR(INDEX(pr_Prob,MATCH(G491,pr_Etapa,0)),0))</f>
        <v/>
      </c>
      <c r="J491" s="49" t="str">
        <f aca="false">IF(H491="","",H491*I491)</f>
        <v/>
      </c>
      <c r="K491" s="45"/>
      <c r="L491" s="45"/>
      <c r="M491" s="50" t="str">
        <f aca="false">IF(G491="","",IF(G491="Fechado ganho","Ganha",IF(G491="Fechado perdido","Perdida","Aberta")))</f>
        <v/>
      </c>
      <c r="N491" s="51" t="str">
        <f aca="false">IF(B491="","",IF(M491="Aberta",DataRef-B491,IF(L491="","",L491-B491)))</f>
        <v/>
      </c>
      <c r="O491" s="50" t="str">
        <f aca="false">IF(M491&lt;&gt;"Aberta","",IF(AND(K491&lt;&gt;"",K491&lt;DataRef),"Previsão vencida",IF(N491&gt;DiasParada,"Parada","")))</f>
        <v/>
      </c>
    </row>
    <row r="492" customFormat="false" ht="15" hidden="false" customHeight="false" outlineLevel="0" collapsed="false">
      <c r="A492" s="44"/>
      <c r="B492" s="45"/>
      <c r="C492" s="46"/>
      <c r="D492" s="46"/>
      <c r="E492" s="7" t="str">
        <f aca="false">IF(C492="","",IFERROR(INDEX(cl_Regiao,MATCH(C492,cl_Nome,0)),""))</f>
        <v/>
      </c>
      <c r="F492" s="46"/>
      <c r="G492" s="46"/>
      <c r="H492" s="47"/>
      <c r="I492" s="48" t="str">
        <f aca="false">IF(G492="","",IFERROR(INDEX(pr_Prob,MATCH(G492,pr_Etapa,0)),0))</f>
        <v/>
      </c>
      <c r="J492" s="49" t="str">
        <f aca="false">IF(H492="","",H492*I492)</f>
        <v/>
      </c>
      <c r="K492" s="45"/>
      <c r="L492" s="45"/>
      <c r="M492" s="50" t="str">
        <f aca="false">IF(G492="","",IF(G492="Fechado ganho","Ganha",IF(G492="Fechado perdido","Perdida","Aberta")))</f>
        <v/>
      </c>
      <c r="N492" s="51" t="str">
        <f aca="false">IF(B492="","",IF(M492="Aberta",DataRef-B492,IF(L492="","",L492-B492)))</f>
        <v/>
      </c>
      <c r="O492" s="50" t="str">
        <f aca="false">IF(M492&lt;&gt;"Aberta","",IF(AND(K492&lt;&gt;"",K492&lt;DataRef),"Previsão vencida",IF(N492&gt;DiasParada,"Parada","")))</f>
        <v/>
      </c>
    </row>
    <row r="493" customFormat="false" ht="15" hidden="false" customHeight="false" outlineLevel="0" collapsed="false">
      <c r="A493" s="44"/>
      <c r="B493" s="45"/>
      <c r="C493" s="46"/>
      <c r="D493" s="46"/>
      <c r="E493" s="7" t="str">
        <f aca="false">IF(C493="","",IFERROR(INDEX(cl_Regiao,MATCH(C493,cl_Nome,0)),""))</f>
        <v/>
      </c>
      <c r="F493" s="46"/>
      <c r="G493" s="46"/>
      <c r="H493" s="47"/>
      <c r="I493" s="48" t="str">
        <f aca="false">IF(G493="","",IFERROR(INDEX(pr_Prob,MATCH(G493,pr_Etapa,0)),0))</f>
        <v/>
      </c>
      <c r="J493" s="49" t="str">
        <f aca="false">IF(H493="","",H493*I493)</f>
        <v/>
      </c>
      <c r="K493" s="45"/>
      <c r="L493" s="45"/>
      <c r="M493" s="50" t="str">
        <f aca="false">IF(G493="","",IF(G493="Fechado ganho","Ganha",IF(G493="Fechado perdido","Perdida","Aberta")))</f>
        <v/>
      </c>
      <c r="N493" s="51" t="str">
        <f aca="false">IF(B493="","",IF(M493="Aberta",DataRef-B493,IF(L493="","",L493-B493)))</f>
        <v/>
      </c>
      <c r="O493" s="50" t="str">
        <f aca="false">IF(M493&lt;&gt;"Aberta","",IF(AND(K493&lt;&gt;"",K493&lt;DataRef),"Previsão vencida",IF(N493&gt;DiasParada,"Parada","")))</f>
        <v/>
      </c>
    </row>
    <row r="494" customFormat="false" ht="15" hidden="false" customHeight="false" outlineLevel="0" collapsed="false">
      <c r="A494" s="44"/>
      <c r="B494" s="45"/>
      <c r="C494" s="46"/>
      <c r="D494" s="46"/>
      <c r="E494" s="7" t="str">
        <f aca="false">IF(C494="","",IFERROR(INDEX(cl_Regiao,MATCH(C494,cl_Nome,0)),""))</f>
        <v/>
      </c>
      <c r="F494" s="46"/>
      <c r="G494" s="46"/>
      <c r="H494" s="47"/>
      <c r="I494" s="48" t="str">
        <f aca="false">IF(G494="","",IFERROR(INDEX(pr_Prob,MATCH(G494,pr_Etapa,0)),0))</f>
        <v/>
      </c>
      <c r="J494" s="49" t="str">
        <f aca="false">IF(H494="","",H494*I494)</f>
        <v/>
      </c>
      <c r="K494" s="45"/>
      <c r="L494" s="45"/>
      <c r="M494" s="50" t="str">
        <f aca="false">IF(G494="","",IF(G494="Fechado ganho","Ganha",IF(G494="Fechado perdido","Perdida","Aberta")))</f>
        <v/>
      </c>
      <c r="N494" s="51" t="str">
        <f aca="false">IF(B494="","",IF(M494="Aberta",DataRef-B494,IF(L494="","",L494-B494)))</f>
        <v/>
      </c>
      <c r="O494" s="50" t="str">
        <f aca="false">IF(M494&lt;&gt;"Aberta","",IF(AND(K494&lt;&gt;"",K494&lt;DataRef),"Previsão vencida",IF(N494&gt;DiasParada,"Parada","")))</f>
        <v/>
      </c>
    </row>
    <row r="495" customFormat="false" ht="15" hidden="false" customHeight="false" outlineLevel="0" collapsed="false">
      <c r="A495" s="44"/>
      <c r="B495" s="45"/>
      <c r="C495" s="46"/>
      <c r="D495" s="46"/>
      <c r="E495" s="7" t="str">
        <f aca="false">IF(C495="","",IFERROR(INDEX(cl_Regiao,MATCH(C495,cl_Nome,0)),""))</f>
        <v/>
      </c>
      <c r="F495" s="46"/>
      <c r="G495" s="46"/>
      <c r="H495" s="47"/>
      <c r="I495" s="48" t="str">
        <f aca="false">IF(G495="","",IFERROR(INDEX(pr_Prob,MATCH(G495,pr_Etapa,0)),0))</f>
        <v/>
      </c>
      <c r="J495" s="49" t="str">
        <f aca="false">IF(H495="","",H495*I495)</f>
        <v/>
      </c>
      <c r="K495" s="45"/>
      <c r="L495" s="45"/>
      <c r="M495" s="50" t="str">
        <f aca="false">IF(G495="","",IF(G495="Fechado ganho","Ganha",IF(G495="Fechado perdido","Perdida","Aberta")))</f>
        <v/>
      </c>
      <c r="N495" s="51" t="str">
        <f aca="false">IF(B495="","",IF(M495="Aberta",DataRef-B495,IF(L495="","",L495-B495)))</f>
        <v/>
      </c>
      <c r="O495" s="50" t="str">
        <f aca="false">IF(M495&lt;&gt;"Aberta","",IF(AND(K495&lt;&gt;"",K495&lt;DataRef),"Previsão vencida",IF(N495&gt;DiasParada,"Parada","")))</f>
        <v/>
      </c>
    </row>
    <row r="496" customFormat="false" ht="15" hidden="false" customHeight="false" outlineLevel="0" collapsed="false">
      <c r="A496" s="44"/>
      <c r="B496" s="45"/>
      <c r="C496" s="46"/>
      <c r="D496" s="46"/>
      <c r="E496" s="7" t="str">
        <f aca="false">IF(C496="","",IFERROR(INDEX(cl_Regiao,MATCH(C496,cl_Nome,0)),""))</f>
        <v/>
      </c>
      <c r="F496" s="46"/>
      <c r="G496" s="46"/>
      <c r="H496" s="47"/>
      <c r="I496" s="48" t="str">
        <f aca="false">IF(G496="","",IFERROR(INDEX(pr_Prob,MATCH(G496,pr_Etapa,0)),0))</f>
        <v/>
      </c>
      <c r="J496" s="49" t="str">
        <f aca="false">IF(H496="","",H496*I496)</f>
        <v/>
      </c>
      <c r="K496" s="45"/>
      <c r="L496" s="45"/>
      <c r="M496" s="50" t="str">
        <f aca="false">IF(G496="","",IF(G496="Fechado ganho","Ganha",IF(G496="Fechado perdido","Perdida","Aberta")))</f>
        <v/>
      </c>
      <c r="N496" s="51" t="str">
        <f aca="false">IF(B496="","",IF(M496="Aberta",DataRef-B496,IF(L496="","",L496-B496)))</f>
        <v/>
      </c>
      <c r="O496" s="50" t="str">
        <f aca="false">IF(M496&lt;&gt;"Aberta","",IF(AND(K496&lt;&gt;"",K496&lt;DataRef),"Previsão vencida",IF(N496&gt;DiasParada,"Parada","")))</f>
        <v/>
      </c>
    </row>
    <row r="497" customFormat="false" ht="15" hidden="false" customHeight="false" outlineLevel="0" collapsed="false">
      <c r="A497" s="44"/>
      <c r="B497" s="45"/>
      <c r="C497" s="46"/>
      <c r="D497" s="46"/>
      <c r="E497" s="7" t="str">
        <f aca="false">IF(C497="","",IFERROR(INDEX(cl_Regiao,MATCH(C497,cl_Nome,0)),""))</f>
        <v/>
      </c>
      <c r="F497" s="46"/>
      <c r="G497" s="46"/>
      <c r="H497" s="47"/>
      <c r="I497" s="48" t="str">
        <f aca="false">IF(G497="","",IFERROR(INDEX(pr_Prob,MATCH(G497,pr_Etapa,0)),0))</f>
        <v/>
      </c>
      <c r="J497" s="49" t="str">
        <f aca="false">IF(H497="","",H497*I497)</f>
        <v/>
      </c>
      <c r="K497" s="45"/>
      <c r="L497" s="45"/>
      <c r="M497" s="50" t="str">
        <f aca="false">IF(G497="","",IF(G497="Fechado ganho","Ganha",IF(G497="Fechado perdido","Perdida","Aberta")))</f>
        <v/>
      </c>
      <c r="N497" s="51" t="str">
        <f aca="false">IF(B497="","",IF(M497="Aberta",DataRef-B497,IF(L497="","",L497-B497)))</f>
        <v/>
      </c>
      <c r="O497" s="50" t="str">
        <f aca="false">IF(M497&lt;&gt;"Aberta","",IF(AND(K497&lt;&gt;"",K497&lt;DataRef),"Previsão vencida",IF(N497&gt;DiasParada,"Parada","")))</f>
        <v/>
      </c>
    </row>
    <row r="498" customFormat="false" ht="15" hidden="false" customHeight="false" outlineLevel="0" collapsed="false">
      <c r="A498" s="44"/>
      <c r="B498" s="45"/>
      <c r="C498" s="46"/>
      <c r="D498" s="46"/>
      <c r="E498" s="7" t="str">
        <f aca="false">IF(C498="","",IFERROR(INDEX(cl_Regiao,MATCH(C498,cl_Nome,0)),""))</f>
        <v/>
      </c>
      <c r="F498" s="46"/>
      <c r="G498" s="46"/>
      <c r="H498" s="47"/>
      <c r="I498" s="48" t="str">
        <f aca="false">IF(G498="","",IFERROR(INDEX(pr_Prob,MATCH(G498,pr_Etapa,0)),0))</f>
        <v/>
      </c>
      <c r="J498" s="49" t="str">
        <f aca="false">IF(H498="","",H498*I498)</f>
        <v/>
      </c>
      <c r="K498" s="45"/>
      <c r="L498" s="45"/>
      <c r="M498" s="50" t="str">
        <f aca="false">IF(G498="","",IF(G498="Fechado ganho","Ganha",IF(G498="Fechado perdido","Perdida","Aberta")))</f>
        <v/>
      </c>
      <c r="N498" s="51" t="str">
        <f aca="false">IF(B498="","",IF(M498="Aberta",DataRef-B498,IF(L498="","",L498-B498)))</f>
        <v/>
      </c>
      <c r="O498" s="50" t="str">
        <f aca="false">IF(M498&lt;&gt;"Aberta","",IF(AND(K498&lt;&gt;"",K498&lt;DataRef),"Previsão vencida",IF(N498&gt;DiasParada,"Parada","")))</f>
        <v/>
      </c>
    </row>
    <row r="499" customFormat="false" ht="15" hidden="false" customHeight="false" outlineLevel="0" collapsed="false">
      <c r="A499" s="44"/>
      <c r="B499" s="45"/>
      <c r="C499" s="46"/>
      <c r="D499" s="46"/>
      <c r="E499" s="7" t="str">
        <f aca="false">IF(C499="","",IFERROR(INDEX(cl_Regiao,MATCH(C499,cl_Nome,0)),""))</f>
        <v/>
      </c>
      <c r="F499" s="46"/>
      <c r="G499" s="46"/>
      <c r="H499" s="47"/>
      <c r="I499" s="48" t="str">
        <f aca="false">IF(G499="","",IFERROR(INDEX(pr_Prob,MATCH(G499,pr_Etapa,0)),0))</f>
        <v/>
      </c>
      <c r="J499" s="49" t="str">
        <f aca="false">IF(H499="","",H499*I499)</f>
        <v/>
      </c>
      <c r="K499" s="45"/>
      <c r="L499" s="45"/>
      <c r="M499" s="50" t="str">
        <f aca="false">IF(G499="","",IF(G499="Fechado ganho","Ganha",IF(G499="Fechado perdido","Perdida","Aberta")))</f>
        <v/>
      </c>
      <c r="N499" s="51" t="str">
        <f aca="false">IF(B499="","",IF(M499="Aberta",DataRef-B499,IF(L499="","",L499-B499)))</f>
        <v/>
      </c>
      <c r="O499" s="50" t="str">
        <f aca="false">IF(M499&lt;&gt;"Aberta","",IF(AND(K499&lt;&gt;"",K499&lt;DataRef),"Previsão vencida",IF(N499&gt;DiasParada,"Parada","")))</f>
        <v/>
      </c>
    </row>
    <row r="500" customFormat="false" ht="15" hidden="false" customHeight="false" outlineLevel="0" collapsed="false">
      <c r="A500" s="44"/>
      <c r="B500" s="45"/>
      <c r="C500" s="46"/>
      <c r="D500" s="46"/>
      <c r="E500" s="7" t="str">
        <f aca="false">IF(C500="","",IFERROR(INDEX(cl_Regiao,MATCH(C500,cl_Nome,0)),""))</f>
        <v/>
      </c>
      <c r="F500" s="46"/>
      <c r="G500" s="46"/>
      <c r="H500" s="47"/>
      <c r="I500" s="48" t="str">
        <f aca="false">IF(G500="","",IFERROR(INDEX(pr_Prob,MATCH(G500,pr_Etapa,0)),0))</f>
        <v/>
      </c>
      <c r="J500" s="49" t="str">
        <f aca="false">IF(H500="","",H500*I500)</f>
        <v/>
      </c>
      <c r="K500" s="45"/>
      <c r="L500" s="45"/>
      <c r="M500" s="50" t="str">
        <f aca="false">IF(G500="","",IF(G500="Fechado ganho","Ganha",IF(G500="Fechado perdido","Perdida","Aberta")))</f>
        <v/>
      </c>
      <c r="N500" s="51" t="str">
        <f aca="false">IF(B500="","",IF(M500="Aberta",DataRef-B500,IF(L500="","",L500-B500)))</f>
        <v/>
      </c>
      <c r="O500" s="50" t="str">
        <f aca="false">IF(M500&lt;&gt;"Aberta","",IF(AND(K500&lt;&gt;"",K500&lt;DataRef),"Previsão vencida",IF(N500&gt;DiasParada,"Parada","")))</f>
        <v/>
      </c>
    </row>
    <row r="501" customFormat="false" ht="15" hidden="false" customHeight="false" outlineLevel="0" collapsed="false">
      <c r="A501" s="44"/>
      <c r="B501" s="45"/>
      <c r="C501" s="46"/>
      <c r="D501" s="46"/>
      <c r="E501" s="7" t="str">
        <f aca="false">IF(C501="","",IFERROR(INDEX(cl_Regiao,MATCH(C501,cl_Nome,0)),""))</f>
        <v/>
      </c>
      <c r="F501" s="46"/>
      <c r="G501" s="46"/>
      <c r="H501" s="47"/>
      <c r="I501" s="48" t="str">
        <f aca="false">IF(G501="","",IFERROR(INDEX(pr_Prob,MATCH(G501,pr_Etapa,0)),0))</f>
        <v/>
      </c>
      <c r="J501" s="49" t="str">
        <f aca="false">IF(H501="","",H501*I501)</f>
        <v/>
      </c>
      <c r="K501" s="45"/>
      <c r="L501" s="45"/>
      <c r="M501" s="50" t="str">
        <f aca="false">IF(G501="","",IF(G501="Fechado ganho","Ganha",IF(G501="Fechado perdido","Perdida","Aberta")))</f>
        <v/>
      </c>
      <c r="N501" s="51" t="str">
        <f aca="false">IF(B501="","",IF(M501="Aberta",DataRef-B501,IF(L501="","",L501-B501)))</f>
        <v/>
      </c>
      <c r="O501" s="50" t="str">
        <f aca="false">IF(M501&lt;&gt;"Aberta","",IF(AND(K501&lt;&gt;"",K501&lt;DataRef),"Previsão vencida",IF(N501&gt;DiasParada,"Parada","")))</f>
        <v/>
      </c>
    </row>
    <row r="502" customFormat="false" ht="15" hidden="false" customHeight="false" outlineLevel="0" collapsed="false">
      <c r="A502" s="44"/>
      <c r="B502" s="45"/>
      <c r="C502" s="46"/>
      <c r="D502" s="46"/>
      <c r="E502" s="7" t="str">
        <f aca="false">IF(C502="","",IFERROR(INDEX(cl_Regiao,MATCH(C502,cl_Nome,0)),""))</f>
        <v/>
      </c>
      <c r="F502" s="46"/>
      <c r="G502" s="46"/>
      <c r="H502" s="47"/>
      <c r="I502" s="48" t="str">
        <f aca="false">IF(G502="","",IFERROR(INDEX(pr_Prob,MATCH(G502,pr_Etapa,0)),0))</f>
        <v/>
      </c>
      <c r="J502" s="49" t="str">
        <f aca="false">IF(H502="","",H502*I502)</f>
        <v/>
      </c>
      <c r="K502" s="45"/>
      <c r="L502" s="45"/>
      <c r="M502" s="50" t="str">
        <f aca="false">IF(G502="","",IF(G502="Fechado ganho","Ganha",IF(G502="Fechado perdido","Perdida","Aberta")))</f>
        <v/>
      </c>
      <c r="N502" s="51" t="str">
        <f aca="false">IF(B502="","",IF(M502="Aberta",DataRef-B502,IF(L502="","",L502-B502)))</f>
        <v/>
      </c>
      <c r="O502" s="50" t="str">
        <f aca="false">IF(M502&lt;&gt;"Aberta","",IF(AND(K502&lt;&gt;"",K502&lt;DataRef),"Previsão vencida",IF(N502&gt;DiasParada,"Parada","")))</f>
        <v/>
      </c>
    </row>
    <row r="503" customFormat="false" ht="15" hidden="false" customHeight="false" outlineLevel="0" collapsed="false">
      <c r="A503" s="44"/>
      <c r="B503" s="45"/>
      <c r="C503" s="46"/>
      <c r="D503" s="46"/>
      <c r="E503" s="7" t="str">
        <f aca="false">IF(C503="","",IFERROR(INDEX(cl_Regiao,MATCH(C503,cl_Nome,0)),""))</f>
        <v/>
      </c>
      <c r="F503" s="46"/>
      <c r="G503" s="46"/>
      <c r="H503" s="47"/>
      <c r="I503" s="48" t="str">
        <f aca="false">IF(G503="","",IFERROR(INDEX(pr_Prob,MATCH(G503,pr_Etapa,0)),0))</f>
        <v/>
      </c>
      <c r="J503" s="49" t="str">
        <f aca="false">IF(H503="","",H503*I503)</f>
        <v/>
      </c>
      <c r="K503" s="45"/>
      <c r="L503" s="45"/>
      <c r="M503" s="50" t="str">
        <f aca="false">IF(G503="","",IF(G503="Fechado ganho","Ganha",IF(G503="Fechado perdido","Perdida","Aberta")))</f>
        <v/>
      </c>
      <c r="N503" s="51" t="str">
        <f aca="false">IF(B503="","",IF(M503="Aberta",DataRef-B503,IF(L503="","",L503-B503)))</f>
        <v/>
      </c>
      <c r="O503" s="50" t="str">
        <f aca="false">IF(M503&lt;&gt;"Aberta","",IF(AND(K503&lt;&gt;"",K503&lt;DataRef),"Previsão vencida",IF(N503&gt;DiasParada,"Parada","")))</f>
        <v/>
      </c>
    </row>
    <row r="504" customFormat="false" ht="15" hidden="false" customHeight="false" outlineLevel="0" collapsed="false">
      <c r="A504" s="44"/>
      <c r="B504" s="45"/>
      <c r="C504" s="46"/>
      <c r="D504" s="46"/>
      <c r="E504" s="7" t="str">
        <f aca="false">IF(C504="","",IFERROR(INDEX(cl_Regiao,MATCH(C504,cl_Nome,0)),""))</f>
        <v/>
      </c>
      <c r="F504" s="46"/>
      <c r="G504" s="46"/>
      <c r="H504" s="47"/>
      <c r="I504" s="48" t="str">
        <f aca="false">IF(G504="","",IFERROR(INDEX(pr_Prob,MATCH(G504,pr_Etapa,0)),0))</f>
        <v/>
      </c>
      <c r="J504" s="49" t="str">
        <f aca="false">IF(H504="","",H504*I504)</f>
        <v/>
      </c>
      <c r="K504" s="45"/>
      <c r="L504" s="45"/>
      <c r="M504" s="50" t="str">
        <f aca="false">IF(G504="","",IF(G504="Fechado ganho","Ganha",IF(G504="Fechado perdido","Perdida","Aberta")))</f>
        <v/>
      </c>
      <c r="N504" s="51" t="str">
        <f aca="false">IF(B504="","",IF(M504="Aberta",DataRef-B504,IF(L504="","",L504-B504)))</f>
        <v/>
      </c>
      <c r="O504" s="50" t="str">
        <f aca="false">IF(M504&lt;&gt;"Aberta","",IF(AND(K504&lt;&gt;"",K504&lt;DataRef),"Previsão vencida",IF(N504&gt;DiasParada,"Parada","")))</f>
        <v/>
      </c>
    </row>
    <row r="505" customFormat="false" ht="15" hidden="false" customHeight="false" outlineLevel="0" collapsed="false">
      <c r="A505" s="44"/>
      <c r="B505" s="45"/>
      <c r="C505" s="46"/>
      <c r="D505" s="46"/>
      <c r="E505" s="7" t="str">
        <f aca="false">IF(C505="","",IFERROR(INDEX(cl_Regiao,MATCH(C505,cl_Nome,0)),""))</f>
        <v/>
      </c>
      <c r="F505" s="46"/>
      <c r="G505" s="46"/>
      <c r="H505" s="47"/>
      <c r="I505" s="48" t="str">
        <f aca="false">IF(G505="","",IFERROR(INDEX(pr_Prob,MATCH(G505,pr_Etapa,0)),0))</f>
        <v/>
      </c>
      <c r="J505" s="49" t="str">
        <f aca="false">IF(H505="","",H505*I505)</f>
        <v/>
      </c>
      <c r="K505" s="45"/>
      <c r="L505" s="45"/>
      <c r="M505" s="50" t="str">
        <f aca="false">IF(G505="","",IF(G505="Fechado ganho","Ganha",IF(G505="Fechado perdido","Perdida","Aberta")))</f>
        <v/>
      </c>
      <c r="N505" s="51" t="str">
        <f aca="false">IF(B505="","",IF(M505="Aberta",DataRef-B505,IF(L505="","",L505-B505)))</f>
        <v/>
      </c>
      <c r="O505" s="50" t="str">
        <f aca="false">IF(M505&lt;&gt;"Aberta","",IF(AND(K505&lt;&gt;"",K505&lt;DataRef),"Previsão vencida",IF(N505&gt;DiasParada,"Parada","")))</f>
        <v/>
      </c>
    </row>
    <row r="506" customFormat="false" ht="15" hidden="false" customHeight="false" outlineLevel="0" collapsed="false">
      <c r="A506" s="44"/>
      <c r="B506" s="45"/>
      <c r="C506" s="46"/>
      <c r="D506" s="46"/>
      <c r="E506" s="7" t="str">
        <f aca="false">IF(C506="","",IFERROR(INDEX(cl_Regiao,MATCH(C506,cl_Nome,0)),""))</f>
        <v/>
      </c>
      <c r="F506" s="46"/>
      <c r="G506" s="46"/>
      <c r="H506" s="47"/>
      <c r="I506" s="48" t="str">
        <f aca="false">IF(G506="","",IFERROR(INDEX(pr_Prob,MATCH(G506,pr_Etapa,0)),0))</f>
        <v/>
      </c>
      <c r="J506" s="49" t="str">
        <f aca="false">IF(H506="","",H506*I506)</f>
        <v/>
      </c>
      <c r="K506" s="45"/>
      <c r="L506" s="45"/>
      <c r="M506" s="50" t="str">
        <f aca="false">IF(G506="","",IF(G506="Fechado ganho","Ganha",IF(G506="Fechado perdido","Perdida","Aberta")))</f>
        <v/>
      </c>
      <c r="N506" s="51" t="str">
        <f aca="false">IF(B506="","",IF(M506="Aberta",DataRef-B506,IF(L506="","",L506-B506)))</f>
        <v/>
      </c>
      <c r="O506" s="50" t="str">
        <f aca="false">IF(M506&lt;&gt;"Aberta","",IF(AND(K506&lt;&gt;"",K506&lt;DataRef),"Previsão vencida",IF(N506&gt;DiasParada,"Parada","")))</f>
        <v/>
      </c>
    </row>
    <row r="507" customFormat="false" ht="15" hidden="false" customHeight="false" outlineLevel="0" collapsed="false">
      <c r="A507" s="44"/>
      <c r="B507" s="45"/>
      <c r="C507" s="46"/>
      <c r="D507" s="46"/>
      <c r="E507" s="7" t="str">
        <f aca="false">IF(C507="","",IFERROR(INDEX(cl_Regiao,MATCH(C507,cl_Nome,0)),""))</f>
        <v/>
      </c>
      <c r="F507" s="46"/>
      <c r="G507" s="46"/>
      <c r="H507" s="47"/>
      <c r="I507" s="48" t="str">
        <f aca="false">IF(G507="","",IFERROR(INDEX(pr_Prob,MATCH(G507,pr_Etapa,0)),0))</f>
        <v/>
      </c>
      <c r="J507" s="49" t="str">
        <f aca="false">IF(H507="","",H507*I507)</f>
        <v/>
      </c>
      <c r="K507" s="45"/>
      <c r="L507" s="45"/>
      <c r="M507" s="50" t="str">
        <f aca="false">IF(G507="","",IF(G507="Fechado ganho","Ganha",IF(G507="Fechado perdido","Perdida","Aberta")))</f>
        <v/>
      </c>
      <c r="N507" s="51" t="str">
        <f aca="false">IF(B507="","",IF(M507="Aberta",DataRef-B507,IF(L507="","",L507-B507)))</f>
        <v/>
      </c>
      <c r="O507" s="50" t="str">
        <f aca="false">IF(M507&lt;&gt;"Aberta","",IF(AND(K507&lt;&gt;"",K507&lt;DataRef),"Previsão vencida",IF(N507&gt;DiasParada,"Parada","")))</f>
        <v/>
      </c>
    </row>
    <row r="508" customFormat="false" ht="15" hidden="false" customHeight="false" outlineLevel="0" collapsed="false">
      <c r="A508" s="44"/>
      <c r="B508" s="45"/>
      <c r="C508" s="46"/>
      <c r="D508" s="46"/>
      <c r="E508" s="7" t="str">
        <f aca="false">IF(C508="","",IFERROR(INDEX(cl_Regiao,MATCH(C508,cl_Nome,0)),""))</f>
        <v/>
      </c>
      <c r="F508" s="46"/>
      <c r="G508" s="46"/>
      <c r="H508" s="47"/>
      <c r="I508" s="48" t="str">
        <f aca="false">IF(G508="","",IFERROR(INDEX(pr_Prob,MATCH(G508,pr_Etapa,0)),0))</f>
        <v/>
      </c>
      <c r="J508" s="49" t="str">
        <f aca="false">IF(H508="","",H508*I508)</f>
        <v/>
      </c>
      <c r="K508" s="45"/>
      <c r="L508" s="45"/>
      <c r="M508" s="50" t="str">
        <f aca="false">IF(G508="","",IF(G508="Fechado ganho","Ganha",IF(G508="Fechado perdido","Perdida","Aberta")))</f>
        <v/>
      </c>
      <c r="N508" s="51" t="str">
        <f aca="false">IF(B508="","",IF(M508="Aberta",DataRef-B508,IF(L508="","",L508-B508)))</f>
        <v/>
      </c>
      <c r="O508" s="50" t="str">
        <f aca="false">IF(M508&lt;&gt;"Aberta","",IF(AND(K508&lt;&gt;"",K508&lt;DataRef),"Previsão vencida",IF(N508&gt;DiasParada,"Parada","")))</f>
        <v/>
      </c>
    </row>
    <row r="509" customFormat="false" ht="15" hidden="false" customHeight="false" outlineLevel="0" collapsed="false">
      <c r="A509" s="44"/>
      <c r="B509" s="45"/>
      <c r="C509" s="46"/>
      <c r="D509" s="46"/>
      <c r="E509" s="7" t="str">
        <f aca="false">IF(C509="","",IFERROR(INDEX(cl_Regiao,MATCH(C509,cl_Nome,0)),""))</f>
        <v/>
      </c>
      <c r="F509" s="46"/>
      <c r="G509" s="46"/>
      <c r="H509" s="47"/>
      <c r="I509" s="48" t="str">
        <f aca="false">IF(G509="","",IFERROR(INDEX(pr_Prob,MATCH(G509,pr_Etapa,0)),0))</f>
        <v/>
      </c>
      <c r="J509" s="49" t="str">
        <f aca="false">IF(H509="","",H509*I509)</f>
        <v/>
      </c>
      <c r="K509" s="45"/>
      <c r="L509" s="45"/>
      <c r="M509" s="50" t="str">
        <f aca="false">IF(G509="","",IF(G509="Fechado ganho","Ganha",IF(G509="Fechado perdido","Perdida","Aberta")))</f>
        <v/>
      </c>
      <c r="N509" s="51" t="str">
        <f aca="false">IF(B509="","",IF(M509="Aberta",DataRef-B509,IF(L509="","",L509-B509)))</f>
        <v/>
      </c>
      <c r="O509" s="50" t="str">
        <f aca="false">IF(M509&lt;&gt;"Aberta","",IF(AND(K509&lt;&gt;"",K509&lt;DataRef),"Previsão vencida",IF(N509&gt;DiasParada,"Parada","")))</f>
        <v/>
      </c>
    </row>
    <row r="510" customFormat="false" ht="15" hidden="false" customHeight="false" outlineLevel="0" collapsed="false">
      <c r="A510" s="44"/>
      <c r="B510" s="45"/>
      <c r="C510" s="46"/>
      <c r="D510" s="46"/>
      <c r="E510" s="7" t="str">
        <f aca="false">IF(C510="","",IFERROR(INDEX(cl_Regiao,MATCH(C510,cl_Nome,0)),""))</f>
        <v/>
      </c>
      <c r="F510" s="46"/>
      <c r="G510" s="46"/>
      <c r="H510" s="47"/>
      <c r="I510" s="48" t="str">
        <f aca="false">IF(G510="","",IFERROR(INDEX(pr_Prob,MATCH(G510,pr_Etapa,0)),0))</f>
        <v/>
      </c>
      <c r="J510" s="49" t="str">
        <f aca="false">IF(H510="","",H510*I510)</f>
        <v/>
      </c>
      <c r="K510" s="45"/>
      <c r="L510" s="45"/>
      <c r="M510" s="50" t="str">
        <f aca="false">IF(G510="","",IF(G510="Fechado ganho","Ganha",IF(G510="Fechado perdido","Perdida","Aberta")))</f>
        <v/>
      </c>
      <c r="N510" s="51" t="str">
        <f aca="false">IF(B510="","",IF(M510="Aberta",DataRef-B510,IF(L510="","",L510-B510)))</f>
        <v/>
      </c>
      <c r="O510" s="50" t="str">
        <f aca="false">IF(M510&lt;&gt;"Aberta","",IF(AND(K510&lt;&gt;"",K510&lt;DataRef),"Previsão vencida",IF(N510&gt;DiasParada,"Parada","")))</f>
        <v/>
      </c>
    </row>
    <row r="511" customFormat="false" ht="15" hidden="false" customHeight="false" outlineLevel="0" collapsed="false">
      <c r="A511" s="44"/>
      <c r="B511" s="45"/>
      <c r="C511" s="46"/>
      <c r="D511" s="46"/>
      <c r="E511" s="7" t="str">
        <f aca="false">IF(C511="","",IFERROR(INDEX(cl_Regiao,MATCH(C511,cl_Nome,0)),""))</f>
        <v/>
      </c>
      <c r="F511" s="46"/>
      <c r="G511" s="46"/>
      <c r="H511" s="47"/>
      <c r="I511" s="48" t="str">
        <f aca="false">IF(G511="","",IFERROR(INDEX(pr_Prob,MATCH(G511,pr_Etapa,0)),0))</f>
        <v/>
      </c>
      <c r="J511" s="49" t="str">
        <f aca="false">IF(H511="","",H511*I511)</f>
        <v/>
      </c>
      <c r="K511" s="45"/>
      <c r="L511" s="45"/>
      <c r="M511" s="50" t="str">
        <f aca="false">IF(G511="","",IF(G511="Fechado ganho","Ganha",IF(G511="Fechado perdido","Perdida","Aberta")))</f>
        <v/>
      </c>
      <c r="N511" s="51" t="str">
        <f aca="false">IF(B511="","",IF(M511="Aberta",DataRef-B511,IF(L511="","",L511-B511)))</f>
        <v/>
      </c>
      <c r="O511" s="50" t="str">
        <f aca="false">IF(M511&lt;&gt;"Aberta","",IF(AND(K511&lt;&gt;"",K511&lt;DataRef),"Previsão vencida",IF(N511&gt;DiasParada,"Parada","")))</f>
        <v/>
      </c>
    </row>
    <row r="512" customFormat="false" ht="15" hidden="false" customHeight="false" outlineLevel="0" collapsed="false">
      <c r="A512" s="44"/>
      <c r="B512" s="45"/>
      <c r="C512" s="46"/>
      <c r="D512" s="46"/>
      <c r="E512" s="7" t="str">
        <f aca="false">IF(C512="","",IFERROR(INDEX(cl_Regiao,MATCH(C512,cl_Nome,0)),""))</f>
        <v/>
      </c>
      <c r="F512" s="46"/>
      <c r="G512" s="46"/>
      <c r="H512" s="47"/>
      <c r="I512" s="48" t="str">
        <f aca="false">IF(G512="","",IFERROR(INDEX(pr_Prob,MATCH(G512,pr_Etapa,0)),0))</f>
        <v/>
      </c>
      <c r="J512" s="49" t="str">
        <f aca="false">IF(H512="","",H512*I512)</f>
        <v/>
      </c>
      <c r="K512" s="45"/>
      <c r="L512" s="45"/>
      <c r="M512" s="50" t="str">
        <f aca="false">IF(G512="","",IF(G512="Fechado ganho","Ganha",IF(G512="Fechado perdido","Perdida","Aberta")))</f>
        <v/>
      </c>
      <c r="N512" s="51" t="str">
        <f aca="false">IF(B512="","",IF(M512="Aberta",DataRef-B512,IF(L512="","",L512-B512)))</f>
        <v/>
      </c>
      <c r="O512" s="50" t="str">
        <f aca="false">IF(M512&lt;&gt;"Aberta","",IF(AND(K512&lt;&gt;"",K512&lt;DataRef),"Previsão vencida",IF(N512&gt;DiasParada,"Parada","")))</f>
        <v/>
      </c>
    </row>
    <row r="513" customFormat="false" ht="15" hidden="false" customHeight="false" outlineLevel="0" collapsed="false">
      <c r="A513" s="44"/>
      <c r="B513" s="45"/>
      <c r="C513" s="46"/>
      <c r="D513" s="46"/>
      <c r="E513" s="7" t="str">
        <f aca="false">IF(C513="","",IFERROR(INDEX(cl_Regiao,MATCH(C513,cl_Nome,0)),""))</f>
        <v/>
      </c>
      <c r="F513" s="46"/>
      <c r="G513" s="46"/>
      <c r="H513" s="47"/>
      <c r="I513" s="48" t="str">
        <f aca="false">IF(G513="","",IFERROR(INDEX(pr_Prob,MATCH(G513,pr_Etapa,0)),0))</f>
        <v/>
      </c>
      <c r="J513" s="49" t="str">
        <f aca="false">IF(H513="","",H513*I513)</f>
        <v/>
      </c>
      <c r="K513" s="45"/>
      <c r="L513" s="45"/>
      <c r="M513" s="50" t="str">
        <f aca="false">IF(G513="","",IF(G513="Fechado ganho","Ganha",IF(G513="Fechado perdido","Perdida","Aberta")))</f>
        <v/>
      </c>
      <c r="N513" s="51" t="str">
        <f aca="false">IF(B513="","",IF(M513="Aberta",DataRef-B513,IF(L513="","",L513-B513)))</f>
        <v/>
      </c>
      <c r="O513" s="50" t="str">
        <f aca="false">IF(M513&lt;&gt;"Aberta","",IF(AND(K513&lt;&gt;"",K513&lt;DataRef),"Previsão vencida",IF(N513&gt;DiasParada,"Parada","")))</f>
        <v/>
      </c>
    </row>
    <row r="514" customFormat="false" ht="15" hidden="false" customHeight="false" outlineLevel="0" collapsed="false">
      <c r="A514" s="44"/>
      <c r="B514" s="45"/>
      <c r="C514" s="46"/>
      <c r="D514" s="46"/>
      <c r="E514" s="7" t="str">
        <f aca="false">IF(C514="","",IFERROR(INDEX(cl_Regiao,MATCH(C514,cl_Nome,0)),""))</f>
        <v/>
      </c>
      <c r="F514" s="46"/>
      <c r="G514" s="46"/>
      <c r="H514" s="47"/>
      <c r="I514" s="48" t="str">
        <f aca="false">IF(G514="","",IFERROR(INDEX(pr_Prob,MATCH(G514,pr_Etapa,0)),0))</f>
        <v/>
      </c>
      <c r="J514" s="49" t="str">
        <f aca="false">IF(H514="","",H514*I514)</f>
        <v/>
      </c>
      <c r="K514" s="45"/>
      <c r="L514" s="45"/>
      <c r="M514" s="50" t="str">
        <f aca="false">IF(G514="","",IF(G514="Fechado ganho","Ganha",IF(G514="Fechado perdido","Perdida","Aberta")))</f>
        <v/>
      </c>
      <c r="N514" s="51" t="str">
        <f aca="false">IF(B514="","",IF(M514="Aberta",DataRef-B514,IF(L514="","",L514-B514)))</f>
        <v/>
      </c>
      <c r="O514" s="50" t="str">
        <f aca="false">IF(M514&lt;&gt;"Aberta","",IF(AND(K514&lt;&gt;"",K514&lt;DataRef),"Previsão vencida",IF(N514&gt;DiasParada,"Parada","")))</f>
        <v/>
      </c>
    </row>
    <row r="515" customFormat="false" ht="15" hidden="false" customHeight="false" outlineLevel="0" collapsed="false">
      <c r="A515" s="44"/>
      <c r="B515" s="45"/>
      <c r="C515" s="46"/>
      <c r="D515" s="46"/>
      <c r="E515" s="7" t="str">
        <f aca="false">IF(C515="","",IFERROR(INDEX(cl_Regiao,MATCH(C515,cl_Nome,0)),""))</f>
        <v/>
      </c>
      <c r="F515" s="46"/>
      <c r="G515" s="46"/>
      <c r="H515" s="47"/>
      <c r="I515" s="48" t="str">
        <f aca="false">IF(G515="","",IFERROR(INDEX(pr_Prob,MATCH(G515,pr_Etapa,0)),0))</f>
        <v/>
      </c>
      <c r="J515" s="49" t="str">
        <f aca="false">IF(H515="","",H515*I515)</f>
        <v/>
      </c>
      <c r="K515" s="45"/>
      <c r="L515" s="45"/>
      <c r="M515" s="50" t="str">
        <f aca="false">IF(G515="","",IF(G515="Fechado ganho","Ganha",IF(G515="Fechado perdido","Perdida","Aberta")))</f>
        <v/>
      </c>
      <c r="N515" s="51" t="str">
        <f aca="false">IF(B515="","",IF(M515="Aberta",DataRef-B515,IF(L515="","",L515-B515)))</f>
        <v/>
      </c>
      <c r="O515" s="50" t="str">
        <f aca="false">IF(M515&lt;&gt;"Aberta","",IF(AND(K515&lt;&gt;"",K515&lt;DataRef),"Previsão vencida",IF(N515&gt;DiasParada,"Parada","")))</f>
        <v/>
      </c>
    </row>
    <row r="516" customFormat="false" ht="15" hidden="false" customHeight="false" outlineLevel="0" collapsed="false">
      <c r="A516" s="44"/>
      <c r="B516" s="45"/>
      <c r="C516" s="46"/>
      <c r="D516" s="46"/>
      <c r="E516" s="7" t="str">
        <f aca="false">IF(C516="","",IFERROR(INDEX(cl_Regiao,MATCH(C516,cl_Nome,0)),""))</f>
        <v/>
      </c>
      <c r="F516" s="46"/>
      <c r="G516" s="46"/>
      <c r="H516" s="47"/>
      <c r="I516" s="48" t="str">
        <f aca="false">IF(G516="","",IFERROR(INDEX(pr_Prob,MATCH(G516,pr_Etapa,0)),0))</f>
        <v/>
      </c>
      <c r="J516" s="49" t="str">
        <f aca="false">IF(H516="","",H516*I516)</f>
        <v/>
      </c>
      <c r="K516" s="45"/>
      <c r="L516" s="45"/>
      <c r="M516" s="50" t="str">
        <f aca="false">IF(G516="","",IF(G516="Fechado ganho","Ganha",IF(G516="Fechado perdido","Perdida","Aberta")))</f>
        <v/>
      </c>
      <c r="N516" s="51" t="str">
        <f aca="false">IF(B516="","",IF(M516="Aberta",DataRef-B516,IF(L516="","",L516-B516)))</f>
        <v/>
      </c>
      <c r="O516" s="50" t="str">
        <f aca="false">IF(M516&lt;&gt;"Aberta","",IF(AND(K516&lt;&gt;"",K516&lt;DataRef),"Previsão vencida",IF(N516&gt;DiasParada,"Parada","")))</f>
        <v/>
      </c>
    </row>
    <row r="517" customFormat="false" ht="15" hidden="false" customHeight="false" outlineLevel="0" collapsed="false">
      <c r="A517" s="44"/>
      <c r="B517" s="45"/>
      <c r="C517" s="46"/>
      <c r="D517" s="46"/>
      <c r="E517" s="7" t="str">
        <f aca="false">IF(C517="","",IFERROR(INDEX(cl_Regiao,MATCH(C517,cl_Nome,0)),""))</f>
        <v/>
      </c>
      <c r="F517" s="46"/>
      <c r="G517" s="46"/>
      <c r="H517" s="47"/>
      <c r="I517" s="48" t="str">
        <f aca="false">IF(G517="","",IFERROR(INDEX(pr_Prob,MATCH(G517,pr_Etapa,0)),0))</f>
        <v/>
      </c>
      <c r="J517" s="49" t="str">
        <f aca="false">IF(H517="","",H517*I517)</f>
        <v/>
      </c>
      <c r="K517" s="45"/>
      <c r="L517" s="45"/>
      <c r="M517" s="50" t="str">
        <f aca="false">IF(G517="","",IF(G517="Fechado ganho","Ganha",IF(G517="Fechado perdido","Perdida","Aberta")))</f>
        <v/>
      </c>
      <c r="N517" s="51" t="str">
        <f aca="false">IF(B517="","",IF(M517="Aberta",DataRef-B517,IF(L517="","",L517-B517)))</f>
        <v/>
      </c>
      <c r="O517" s="50" t="str">
        <f aca="false">IF(M517&lt;&gt;"Aberta","",IF(AND(K517&lt;&gt;"",K517&lt;DataRef),"Previsão vencida",IF(N517&gt;DiasParada,"Parada","")))</f>
        <v/>
      </c>
    </row>
    <row r="518" customFormat="false" ht="15" hidden="false" customHeight="false" outlineLevel="0" collapsed="false">
      <c r="A518" s="44"/>
      <c r="B518" s="45"/>
      <c r="C518" s="46"/>
      <c r="D518" s="46"/>
      <c r="E518" s="7" t="str">
        <f aca="false">IF(C518="","",IFERROR(INDEX(cl_Regiao,MATCH(C518,cl_Nome,0)),""))</f>
        <v/>
      </c>
      <c r="F518" s="46"/>
      <c r="G518" s="46"/>
      <c r="H518" s="47"/>
      <c r="I518" s="48" t="str">
        <f aca="false">IF(G518="","",IFERROR(INDEX(pr_Prob,MATCH(G518,pr_Etapa,0)),0))</f>
        <v/>
      </c>
      <c r="J518" s="49" t="str">
        <f aca="false">IF(H518="","",H518*I518)</f>
        <v/>
      </c>
      <c r="K518" s="45"/>
      <c r="L518" s="45"/>
      <c r="M518" s="50" t="str">
        <f aca="false">IF(G518="","",IF(G518="Fechado ganho","Ganha",IF(G518="Fechado perdido","Perdida","Aberta")))</f>
        <v/>
      </c>
      <c r="N518" s="51" t="str">
        <f aca="false">IF(B518="","",IF(M518="Aberta",DataRef-B518,IF(L518="","",L518-B518)))</f>
        <v/>
      </c>
      <c r="O518" s="50" t="str">
        <f aca="false">IF(M518&lt;&gt;"Aberta","",IF(AND(K518&lt;&gt;"",K518&lt;DataRef),"Previsão vencida",IF(N518&gt;DiasParada,"Parada","")))</f>
        <v/>
      </c>
    </row>
    <row r="519" customFormat="false" ht="15" hidden="false" customHeight="false" outlineLevel="0" collapsed="false">
      <c r="A519" s="44"/>
      <c r="B519" s="45"/>
      <c r="C519" s="46"/>
      <c r="D519" s="46"/>
      <c r="E519" s="7" t="str">
        <f aca="false">IF(C519="","",IFERROR(INDEX(cl_Regiao,MATCH(C519,cl_Nome,0)),""))</f>
        <v/>
      </c>
      <c r="F519" s="46"/>
      <c r="G519" s="46"/>
      <c r="H519" s="47"/>
      <c r="I519" s="48" t="str">
        <f aca="false">IF(G519="","",IFERROR(INDEX(pr_Prob,MATCH(G519,pr_Etapa,0)),0))</f>
        <v/>
      </c>
      <c r="J519" s="49" t="str">
        <f aca="false">IF(H519="","",H519*I519)</f>
        <v/>
      </c>
      <c r="K519" s="45"/>
      <c r="L519" s="45"/>
      <c r="M519" s="50" t="str">
        <f aca="false">IF(G519="","",IF(G519="Fechado ganho","Ganha",IF(G519="Fechado perdido","Perdida","Aberta")))</f>
        <v/>
      </c>
      <c r="N519" s="51" t="str">
        <f aca="false">IF(B519="","",IF(M519="Aberta",DataRef-B519,IF(L519="","",L519-B519)))</f>
        <v/>
      </c>
      <c r="O519" s="50" t="str">
        <f aca="false">IF(M519&lt;&gt;"Aberta","",IF(AND(K519&lt;&gt;"",K519&lt;DataRef),"Previsão vencida",IF(N519&gt;DiasParada,"Parada","")))</f>
        <v/>
      </c>
    </row>
    <row r="520" customFormat="false" ht="15" hidden="false" customHeight="false" outlineLevel="0" collapsed="false">
      <c r="A520" s="44"/>
      <c r="B520" s="45"/>
      <c r="C520" s="46"/>
      <c r="D520" s="46"/>
      <c r="E520" s="7" t="str">
        <f aca="false">IF(C520="","",IFERROR(INDEX(cl_Regiao,MATCH(C520,cl_Nome,0)),""))</f>
        <v/>
      </c>
      <c r="F520" s="46"/>
      <c r="G520" s="46"/>
      <c r="H520" s="47"/>
      <c r="I520" s="48" t="str">
        <f aca="false">IF(G520="","",IFERROR(INDEX(pr_Prob,MATCH(G520,pr_Etapa,0)),0))</f>
        <v/>
      </c>
      <c r="J520" s="49" t="str">
        <f aca="false">IF(H520="","",H520*I520)</f>
        <v/>
      </c>
      <c r="K520" s="45"/>
      <c r="L520" s="45"/>
      <c r="M520" s="50" t="str">
        <f aca="false">IF(G520="","",IF(G520="Fechado ganho","Ganha",IF(G520="Fechado perdido","Perdida","Aberta")))</f>
        <v/>
      </c>
      <c r="N520" s="51" t="str">
        <f aca="false">IF(B520="","",IF(M520="Aberta",DataRef-B520,IF(L520="","",L520-B520)))</f>
        <v/>
      </c>
      <c r="O520" s="50" t="str">
        <f aca="false">IF(M520&lt;&gt;"Aberta","",IF(AND(K520&lt;&gt;"",K520&lt;DataRef),"Previsão vencida",IF(N520&gt;DiasParada,"Parada","")))</f>
        <v/>
      </c>
    </row>
    <row r="521" customFormat="false" ht="15" hidden="false" customHeight="false" outlineLevel="0" collapsed="false">
      <c r="A521" s="44"/>
      <c r="B521" s="45"/>
      <c r="C521" s="46"/>
      <c r="D521" s="46"/>
      <c r="E521" s="7" t="str">
        <f aca="false">IF(C521="","",IFERROR(INDEX(cl_Regiao,MATCH(C521,cl_Nome,0)),""))</f>
        <v/>
      </c>
      <c r="F521" s="46"/>
      <c r="G521" s="46"/>
      <c r="H521" s="47"/>
      <c r="I521" s="48" t="str">
        <f aca="false">IF(G521="","",IFERROR(INDEX(pr_Prob,MATCH(G521,pr_Etapa,0)),0))</f>
        <v/>
      </c>
      <c r="J521" s="49" t="str">
        <f aca="false">IF(H521="","",H521*I521)</f>
        <v/>
      </c>
      <c r="K521" s="45"/>
      <c r="L521" s="45"/>
      <c r="M521" s="50" t="str">
        <f aca="false">IF(G521="","",IF(G521="Fechado ganho","Ganha",IF(G521="Fechado perdido","Perdida","Aberta")))</f>
        <v/>
      </c>
      <c r="N521" s="51" t="str">
        <f aca="false">IF(B521="","",IF(M521="Aberta",DataRef-B521,IF(L521="","",L521-B521)))</f>
        <v/>
      </c>
      <c r="O521" s="50" t="str">
        <f aca="false">IF(M521&lt;&gt;"Aberta","",IF(AND(K521&lt;&gt;"",K521&lt;DataRef),"Previsão vencida",IF(N521&gt;DiasParada,"Parada","")))</f>
        <v/>
      </c>
    </row>
    <row r="522" customFormat="false" ht="15" hidden="false" customHeight="false" outlineLevel="0" collapsed="false">
      <c r="A522" s="44"/>
      <c r="B522" s="45"/>
      <c r="C522" s="46"/>
      <c r="D522" s="46"/>
      <c r="E522" s="7" t="str">
        <f aca="false">IF(C522="","",IFERROR(INDEX(cl_Regiao,MATCH(C522,cl_Nome,0)),""))</f>
        <v/>
      </c>
      <c r="F522" s="46"/>
      <c r="G522" s="46"/>
      <c r="H522" s="47"/>
      <c r="I522" s="48" t="str">
        <f aca="false">IF(G522="","",IFERROR(INDEX(pr_Prob,MATCH(G522,pr_Etapa,0)),0))</f>
        <v/>
      </c>
      <c r="J522" s="49" t="str">
        <f aca="false">IF(H522="","",H522*I522)</f>
        <v/>
      </c>
      <c r="K522" s="45"/>
      <c r="L522" s="45"/>
      <c r="M522" s="50" t="str">
        <f aca="false">IF(G522="","",IF(G522="Fechado ganho","Ganha",IF(G522="Fechado perdido","Perdida","Aberta")))</f>
        <v/>
      </c>
      <c r="N522" s="51" t="str">
        <f aca="false">IF(B522="","",IF(M522="Aberta",DataRef-B522,IF(L522="","",L522-B522)))</f>
        <v/>
      </c>
      <c r="O522" s="50" t="str">
        <f aca="false">IF(M522&lt;&gt;"Aberta","",IF(AND(K522&lt;&gt;"",K522&lt;DataRef),"Previsão vencida",IF(N522&gt;DiasParada,"Parada","")))</f>
        <v/>
      </c>
    </row>
    <row r="523" customFormat="false" ht="15" hidden="false" customHeight="false" outlineLevel="0" collapsed="false">
      <c r="A523" s="44"/>
      <c r="B523" s="45"/>
      <c r="C523" s="46"/>
      <c r="D523" s="46"/>
      <c r="E523" s="7" t="str">
        <f aca="false">IF(C523="","",IFERROR(INDEX(cl_Regiao,MATCH(C523,cl_Nome,0)),""))</f>
        <v/>
      </c>
      <c r="F523" s="46"/>
      <c r="G523" s="46"/>
      <c r="H523" s="47"/>
      <c r="I523" s="48" t="str">
        <f aca="false">IF(G523="","",IFERROR(INDEX(pr_Prob,MATCH(G523,pr_Etapa,0)),0))</f>
        <v/>
      </c>
      <c r="J523" s="49" t="str">
        <f aca="false">IF(H523="","",H523*I523)</f>
        <v/>
      </c>
      <c r="K523" s="45"/>
      <c r="L523" s="45"/>
      <c r="M523" s="50" t="str">
        <f aca="false">IF(G523="","",IF(G523="Fechado ganho","Ganha",IF(G523="Fechado perdido","Perdida","Aberta")))</f>
        <v/>
      </c>
      <c r="N523" s="51" t="str">
        <f aca="false">IF(B523="","",IF(M523="Aberta",DataRef-B523,IF(L523="","",L523-B523)))</f>
        <v/>
      </c>
      <c r="O523" s="50" t="str">
        <f aca="false">IF(M523&lt;&gt;"Aberta","",IF(AND(K523&lt;&gt;"",K523&lt;DataRef),"Previsão vencida",IF(N523&gt;DiasParada,"Parada","")))</f>
        <v/>
      </c>
    </row>
    <row r="524" customFormat="false" ht="15" hidden="false" customHeight="false" outlineLevel="0" collapsed="false">
      <c r="A524" s="44"/>
      <c r="B524" s="45"/>
      <c r="C524" s="46"/>
      <c r="D524" s="46"/>
      <c r="E524" s="7" t="str">
        <f aca="false">IF(C524="","",IFERROR(INDEX(cl_Regiao,MATCH(C524,cl_Nome,0)),""))</f>
        <v/>
      </c>
      <c r="F524" s="46"/>
      <c r="G524" s="46"/>
      <c r="H524" s="47"/>
      <c r="I524" s="48" t="str">
        <f aca="false">IF(G524="","",IFERROR(INDEX(pr_Prob,MATCH(G524,pr_Etapa,0)),0))</f>
        <v/>
      </c>
      <c r="J524" s="49" t="str">
        <f aca="false">IF(H524="","",H524*I524)</f>
        <v/>
      </c>
      <c r="K524" s="45"/>
      <c r="L524" s="45"/>
      <c r="M524" s="50" t="str">
        <f aca="false">IF(G524="","",IF(G524="Fechado ganho","Ganha",IF(G524="Fechado perdido","Perdida","Aberta")))</f>
        <v/>
      </c>
      <c r="N524" s="51" t="str">
        <f aca="false">IF(B524="","",IF(M524="Aberta",DataRef-B524,IF(L524="","",L524-B524)))</f>
        <v/>
      </c>
      <c r="O524" s="50" t="str">
        <f aca="false">IF(M524&lt;&gt;"Aberta","",IF(AND(K524&lt;&gt;"",K524&lt;DataRef),"Previsão vencida",IF(N524&gt;DiasParada,"Parada","")))</f>
        <v/>
      </c>
    </row>
    <row r="525" customFormat="false" ht="15" hidden="false" customHeight="false" outlineLevel="0" collapsed="false">
      <c r="A525" s="44"/>
      <c r="B525" s="45"/>
      <c r="C525" s="46"/>
      <c r="D525" s="46"/>
      <c r="E525" s="7" t="str">
        <f aca="false">IF(C525="","",IFERROR(INDEX(cl_Regiao,MATCH(C525,cl_Nome,0)),""))</f>
        <v/>
      </c>
      <c r="F525" s="46"/>
      <c r="G525" s="46"/>
      <c r="H525" s="47"/>
      <c r="I525" s="48" t="str">
        <f aca="false">IF(G525="","",IFERROR(INDEX(pr_Prob,MATCH(G525,pr_Etapa,0)),0))</f>
        <v/>
      </c>
      <c r="J525" s="49" t="str">
        <f aca="false">IF(H525="","",H525*I525)</f>
        <v/>
      </c>
      <c r="K525" s="45"/>
      <c r="L525" s="45"/>
      <c r="M525" s="50" t="str">
        <f aca="false">IF(G525="","",IF(G525="Fechado ganho","Ganha",IF(G525="Fechado perdido","Perdida","Aberta")))</f>
        <v/>
      </c>
      <c r="N525" s="51" t="str">
        <f aca="false">IF(B525="","",IF(M525="Aberta",DataRef-B525,IF(L525="","",L525-B525)))</f>
        <v/>
      </c>
      <c r="O525" s="50" t="str">
        <f aca="false">IF(M525&lt;&gt;"Aberta","",IF(AND(K525&lt;&gt;"",K525&lt;DataRef),"Previsão vencida",IF(N525&gt;DiasParada,"Parada","")))</f>
        <v/>
      </c>
    </row>
    <row r="526" customFormat="false" ht="15" hidden="false" customHeight="false" outlineLevel="0" collapsed="false">
      <c r="A526" s="44"/>
      <c r="B526" s="45"/>
      <c r="C526" s="46"/>
      <c r="D526" s="46"/>
      <c r="E526" s="7" t="str">
        <f aca="false">IF(C526="","",IFERROR(INDEX(cl_Regiao,MATCH(C526,cl_Nome,0)),""))</f>
        <v/>
      </c>
      <c r="F526" s="46"/>
      <c r="G526" s="46"/>
      <c r="H526" s="47"/>
      <c r="I526" s="48" t="str">
        <f aca="false">IF(G526="","",IFERROR(INDEX(pr_Prob,MATCH(G526,pr_Etapa,0)),0))</f>
        <v/>
      </c>
      <c r="J526" s="49" t="str">
        <f aca="false">IF(H526="","",H526*I526)</f>
        <v/>
      </c>
      <c r="K526" s="45"/>
      <c r="L526" s="45"/>
      <c r="M526" s="50" t="str">
        <f aca="false">IF(G526="","",IF(G526="Fechado ganho","Ganha",IF(G526="Fechado perdido","Perdida","Aberta")))</f>
        <v/>
      </c>
      <c r="N526" s="51" t="str">
        <f aca="false">IF(B526="","",IF(M526="Aberta",DataRef-B526,IF(L526="","",L526-B526)))</f>
        <v/>
      </c>
      <c r="O526" s="50" t="str">
        <f aca="false">IF(M526&lt;&gt;"Aberta","",IF(AND(K526&lt;&gt;"",K526&lt;DataRef),"Previsão vencida",IF(N526&gt;DiasParada,"Parada","")))</f>
        <v/>
      </c>
    </row>
    <row r="527" customFormat="false" ht="15" hidden="false" customHeight="false" outlineLevel="0" collapsed="false">
      <c r="A527" s="44"/>
      <c r="B527" s="45"/>
      <c r="C527" s="46"/>
      <c r="D527" s="46"/>
      <c r="E527" s="7" t="str">
        <f aca="false">IF(C527="","",IFERROR(INDEX(cl_Regiao,MATCH(C527,cl_Nome,0)),""))</f>
        <v/>
      </c>
      <c r="F527" s="46"/>
      <c r="G527" s="46"/>
      <c r="H527" s="47"/>
      <c r="I527" s="48" t="str">
        <f aca="false">IF(G527="","",IFERROR(INDEX(pr_Prob,MATCH(G527,pr_Etapa,0)),0))</f>
        <v/>
      </c>
      <c r="J527" s="49" t="str">
        <f aca="false">IF(H527="","",H527*I527)</f>
        <v/>
      </c>
      <c r="K527" s="45"/>
      <c r="L527" s="45"/>
      <c r="M527" s="50" t="str">
        <f aca="false">IF(G527="","",IF(G527="Fechado ganho","Ganha",IF(G527="Fechado perdido","Perdida","Aberta")))</f>
        <v/>
      </c>
      <c r="N527" s="51" t="str">
        <f aca="false">IF(B527="","",IF(M527="Aberta",DataRef-B527,IF(L527="","",L527-B527)))</f>
        <v/>
      </c>
      <c r="O527" s="50" t="str">
        <f aca="false">IF(M527&lt;&gt;"Aberta","",IF(AND(K527&lt;&gt;"",K527&lt;DataRef),"Previsão vencida",IF(N527&gt;DiasParada,"Parada","")))</f>
        <v/>
      </c>
    </row>
    <row r="528" customFormat="false" ht="15" hidden="false" customHeight="false" outlineLevel="0" collapsed="false">
      <c r="A528" s="44"/>
      <c r="B528" s="45"/>
      <c r="C528" s="46"/>
      <c r="D528" s="46"/>
      <c r="E528" s="7" t="str">
        <f aca="false">IF(C528="","",IFERROR(INDEX(cl_Regiao,MATCH(C528,cl_Nome,0)),""))</f>
        <v/>
      </c>
      <c r="F528" s="46"/>
      <c r="G528" s="46"/>
      <c r="H528" s="47"/>
      <c r="I528" s="48" t="str">
        <f aca="false">IF(G528="","",IFERROR(INDEX(pr_Prob,MATCH(G528,pr_Etapa,0)),0))</f>
        <v/>
      </c>
      <c r="J528" s="49" t="str">
        <f aca="false">IF(H528="","",H528*I528)</f>
        <v/>
      </c>
      <c r="K528" s="45"/>
      <c r="L528" s="45"/>
      <c r="M528" s="50" t="str">
        <f aca="false">IF(G528="","",IF(G528="Fechado ganho","Ganha",IF(G528="Fechado perdido","Perdida","Aberta")))</f>
        <v/>
      </c>
      <c r="N528" s="51" t="str">
        <f aca="false">IF(B528="","",IF(M528="Aberta",DataRef-B528,IF(L528="","",L528-B528)))</f>
        <v/>
      </c>
      <c r="O528" s="50" t="str">
        <f aca="false">IF(M528&lt;&gt;"Aberta","",IF(AND(K528&lt;&gt;"",K528&lt;DataRef),"Previsão vencida",IF(N528&gt;DiasParada,"Parada","")))</f>
        <v/>
      </c>
    </row>
    <row r="529" customFormat="false" ht="15" hidden="false" customHeight="false" outlineLevel="0" collapsed="false">
      <c r="A529" s="44"/>
      <c r="B529" s="45"/>
      <c r="C529" s="46"/>
      <c r="D529" s="46"/>
      <c r="E529" s="7" t="str">
        <f aca="false">IF(C529="","",IFERROR(INDEX(cl_Regiao,MATCH(C529,cl_Nome,0)),""))</f>
        <v/>
      </c>
      <c r="F529" s="46"/>
      <c r="G529" s="46"/>
      <c r="H529" s="47"/>
      <c r="I529" s="48" t="str">
        <f aca="false">IF(G529="","",IFERROR(INDEX(pr_Prob,MATCH(G529,pr_Etapa,0)),0))</f>
        <v/>
      </c>
      <c r="J529" s="49" t="str">
        <f aca="false">IF(H529="","",H529*I529)</f>
        <v/>
      </c>
      <c r="K529" s="45"/>
      <c r="L529" s="45"/>
      <c r="M529" s="50" t="str">
        <f aca="false">IF(G529="","",IF(G529="Fechado ganho","Ganha",IF(G529="Fechado perdido","Perdida","Aberta")))</f>
        <v/>
      </c>
      <c r="N529" s="51" t="str">
        <f aca="false">IF(B529="","",IF(M529="Aberta",DataRef-B529,IF(L529="","",L529-B529)))</f>
        <v/>
      </c>
      <c r="O529" s="50" t="str">
        <f aca="false">IF(M529&lt;&gt;"Aberta","",IF(AND(K529&lt;&gt;"",K529&lt;DataRef),"Previsão vencida",IF(N529&gt;DiasParada,"Parada","")))</f>
        <v/>
      </c>
    </row>
    <row r="530" customFormat="false" ht="15" hidden="false" customHeight="false" outlineLevel="0" collapsed="false">
      <c r="A530" s="44"/>
      <c r="B530" s="45"/>
      <c r="C530" s="46"/>
      <c r="D530" s="46"/>
      <c r="E530" s="7" t="str">
        <f aca="false">IF(C530="","",IFERROR(INDEX(cl_Regiao,MATCH(C530,cl_Nome,0)),""))</f>
        <v/>
      </c>
      <c r="F530" s="46"/>
      <c r="G530" s="46"/>
      <c r="H530" s="47"/>
      <c r="I530" s="48" t="str">
        <f aca="false">IF(G530="","",IFERROR(INDEX(pr_Prob,MATCH(G530,pr_Etapa,0)),0))</f>
        <v/>
      </c>
      <c r="J530" s="49" t="str">
        <f aca="false">IF(H530="","",H530*I530)</f>
        <v/>
      </c>
      <c r="K530" s="45"/>
      <c r="L530" s="45"/>
      <c r="M530" s="50" t="str">
        <f aca="false">IF(G530="","",IF(G530="Fechado ganho","Ganha",IF(G530="Fechado perdido","Perdida","Aberta")))</f>
        <v/>
      </c>
      <c r="N530" s="51" t="str">
        <f aca="false">IF(B530="","",IF(M530="Aberta",DataRef-B530,IF(L530="","",L530-B530)))</f>
        <v/>
      </c>
      <c r="O530" s="50" t="str">
        <f aca="false">IF(M530&lt;&gt;"Aberta","",IF(AND(K530&lt;&gt;"",K530&lt;DataRef),"Previsão vencida",IF(N530&gt;DiasParada,"Parada","")))</f>
        <v/>
      </c>
    </row>
    <row r="531" customFormat="false" ht="15" hidden="false" customHeight="false" outlineLevel="0" collapsed="false">
      <c r="A531" s="44"/>
      <c r="B531" s="45"/>
      <c r="C531" s="46"/>
      <c r="D531" s="46"/>
      <c r="E531" s="7" t="str">
        <f aca="false">IF(C531="","",IFERROR(INDEX(cl_Regiao,MATCH(C531,cl_Nome,0)),""))</f>
        <v/>
      </c>
      <c r="F531" s="46"/>
      <c r="G531" s="46"/>
      <c r="H531" s="47"/>
      <c r="I531" s="48" t="str">
        <f aca="false">IF(G531="","",IFERROR(INDEX(pr_Prob,MATCH(G531,pr_Etapa,0)),0))</f>
        <v/>
      </c>
      <c r="J531" s="49" t="str">
        <f aca="false">IF(H531="","",H531*I531)</f>
        <v/>
      </c>
      <c r="K531" s="45"/>
      <c r="L531" s="45"/>
      <c r="M531" s="50" t="str">
        <f aca="false">IF(G531="","",IF(G531="Fechado ganho","Ganha",IF(G531="Fechado perdido","Perdida","Aberta")))</f>
        <v/>
      </c>
      <c r="N531" s="51" t="str">
        <f aca="false">IF(B531="","",IF(M531="Aberta",DataRef-B531,IF(L531="","",L531-B531)))</f>
        <v/>
      </c>
      <c r="O531" s="50" t="str">
        <f aca="false">IF(M531&lt;&gt;"Aberta","",IF(AND(K531&lt;&gt;"",K531&lt;DataRef),"Previsão vencida",IF(N531&gt;DiasParada,"Parada","")))</f>
        <v/>
      </c>
    </row>
    <row r="532" customFormat="false" ht="15" hidden="false" customHeight="false" outlineLevel="0" collapsed="false">
      <c r="A532" s="44"/>
      <c r="B532" s="45"/>
      <c r="C532" s="46"/>
      <c r="D532" s="46"/>
      <c r="E532" s="7" t="str">
        <f aca="false">IF(C532="","",IFERROR(INDEX(cl_Regiao,MATCH(C532,cl_Nome,0)),""))</f>
        <v/>
      </c>
      <c r="F532" s="46"/>
      <c r="G532" s="46"/>
      <c r="H532" s="47"/>
      <c r="I532" s="48" t="str">
        <f aca="false">IF(G532="","",IFERROR(INDEX(pr_Prob,MATCH(G532,pr_Etapa,0)),0))</f>
        <v/>
      </c>
      <c r="J532" s="49" t="str">
        <f aca="false">IF(H532="","",H532*I532)</f>
        <v/>
      </c>
      <c r="K532" s="45"/>
      <c r="L532" s="45"/>
      <c r="M532" s="50" t="str">
        <f aca="false">IF(G532="","",IF(G532="Fechado ganho","Ganha",IF(G532="Fechado perdido","Perdida","Aberta")))</f>
        <v/>
      </c>
      <c r="N532" s="51" t="str">
        <f aca="false">IF(B532="","",IF(M532="Aberta",DataRef-B532,IF(L532="","",L532-B532)))</f>
        <v/>
      </c>
      <c r="O532" s="50" t="str">
        <f aca="false">IF(M532&lt;&gt;"Aberta","",IF(AND(K532&lt;&gt;"",K532&lt;DataRef),"Previsão vencida",IF(N532&gt;DiasParada,"Parada","")))</f>
        <v/>
      </c>
    </row>
    <row r="533" customFormat="false" ht="15" hidden="false" customHeight="false" outlineLevel="0" collapsed="false">
      <c r="A533" s="44"/>
      <c r="B533" s="45"/>
      <c r="C533" s="46"/>
      <c r="D533" s="46"/>
      <c r="E533" s="7" t="str">
        <f aca="false">IF(C533="","",IFERROR(INDEX(cl_Regiao,MATCH(C533,cl_Nome,0)),""))</f>
        <v/>
      </c>
      <c r="F533" s="46"/>
      <c r="G533" s="46"/>
      <c r="H533" s="47"/>
      <c r="I533" s="48" t="str">
        <f aca="false">IF(G533="","",IFERROR(INDEX(pr_Prob,MATCH(G533,pr_Etapa,0)),0))</f>
        <v/>
      </c>
      <c r="J533" s="49" t="str">
        <f aca="false">IF(H533="","",H533*I533)</f>
        <v/>
      </c>
      <c r="K533" s="45"/>
      <c r="L533" s="45"/>
      <c r="M533" s="50" t="str">
        <f aca="false">IF(G533="","",IF(G533="Fechado ganho","Ganha",IF(G533="Fechado perdido","Perdida","Aberta")))</f>
        <v/>
      </c>
      <c r="N533" s="51" t="str">
        <f aca="false">IF(B533="","",IF(M533="Aberta",DataRef-B533,IF(L533="","",L533-B533)))</f>
        <v/>
      </c>
      <c r="O533" s="50" t="str">
        <f aca="false">IF(M533&lt;&gt;"Aberta","",IF(AND(K533&lt;&gt;"",K533&lt;DataRef),"Previsão vencida",IF(N533&gt;DiasParada,"Parada","")))</f>
        <v/>
      </c>
    </row>
    <row r="534" customFormat="false" ht="15" hidden="false" customHeight="false" outlineLevel="0" collapsed="false">
      <c r="A534" s="44"/>
      <c r="B534" s="45"/>
      <c r="C534" s="46"/>
      <c r="D534" s="46"/>
      <c r="E534" s="7" t="str">
        <f aca="false">IF(C534="","",IFERROR(INDEX(cl_Regiao,MATCH(C534,cl_Nome,0)),""))</f>
        <v/>
      </c>
      <c r="F534" s="46"/>
      <c r="G534" s="46"/>
      <c r="H534" s="47"/>
      <c r="I534" s="48" t="str">
        <f aca="false">IF(G534="","",IFERROR(INDEX(pr_Prob,MATCH(G534,pr_Etapa,0)),0))</f>
        <v/>
      </c>
      <c r="J534" s="49" t="str">
        <f aca="false">IF(H534="","",H534*I534)</f>
        <v/>
      </c>
      <c r="K534" s="45"/>
      <c r="L534" s="45"/>
      <c r="M534" s="50" t="str">
        <f aca="false">IF(G534="","",IF(G534="Fechado ganho","Ganha",IF(G534="Fechado perdido","Perdida","Aberta")))</f>
        <v/>
      </c>
      <c r="N534" s="51" t="str">
        <f aca="false">IF(B534="","",IF(M534="Aberta",DataRef-B534,IF(L534="","",L534-B534)))</f>
        <v/>
      </c>
      <c r="O534" s="50" t="str">
        <f aca="false">IF(M534&lt;&gt;"Aberta","",IF(AND(K534&lt;&gt;"",K534&lt;DataRef),"Previsão vencida",IF(N534&gt;DiasParada,"Parada","")))</f>
        <v/>
      </c>
    </row>
    <row r="535" customFormat="false" ht="15" hidden="false" customHeight="false" outlineLevel="0" collapsed="false">
      <c r="A535" s="44"/>
      <c r="B535" s="45"/>
      <c r="C535" s="46"/>
      <c r="D535" s="46"/>
      <c r="E535" s="7" t="str">
        <f aca="false">IF(C535="","",IFERROR(INDEX(cl_Regiao,MATCH(C535,cl_Nome,0)),""))</f>
        <v/>
      </c>
      <c r="F535" s="46"/>
      <c r="G535" s="46"/>
      <c r="H535" s="47"/>
      <c r="I535" s="48" t="str">
        <f aca="false">IF(G535="","",IFERROR(INDEX(pr_Prob,MATCH(G535,pr_Etapa,0)),0))</f>
        <v/>
      </c>
      <c r="J535" s="49" t="str">
        <f aca="false">IF(H535="","",H535*I535)</f>
        <v/>
      </c>
      <c r="K535" s="45"/>
      <c r="L535" s="45"/>
      <c r="M535" s="50" t="str">
        <f aca="false">IF(G535="","",IF(G535="Fechado ganho","Ganha",IF(G535="Fechado perdido","Perdida","Aberta")))</f>
        <v/>
      </c>
      <c r="N535" s="51" t="str">
        <f aca="false">IF(B535="","",IF(M535="Aberta",DataRef-B535,IF(L535="","",L535-B535)))</f>
        <v/>
      </c>
      <c r="O535" s="50" t="str">
        <f aca="false">IF(M535&lt;&gt;"Aberta","",IF(AND(K535&lt;&gt;"",K535&lt;DataRef),"Previsão vencida",IF(N535&gt;DiasParada,"Parada","")))</f>
        <v/>
      </c>
    </row>
    <row r="536" customFormat="false" ht="15" hidden="false" customHeight="false" outlineLevel="0" collapsed="false">
      <c r="A536" s="44"/>
      <c r="B536" s="45"/>
      <c r="C536" s="46"/>
      <c r="D536" s="46"/>
      <c r="E536" s="7" t="str">
        <f aca="false">IF(C536="","",IFERROR(INDEX(cl_Regiao,MATCH(C536,cl_Nome,0)),""))</f>
        <v/>
      </c>
      <c r="F536" s="46"/>
      <c r="G536" s="46"/>
      <c r="H536" s="47"/>
      <c r="I536" s="48" t="str">
        <f aca="false">IF(G536="","",IFERROR(INDEX(pr_Prob,MATCH(G536,pr_Etapa,0)),0))</f>
        <v/>
      </c>
      <c r="J536" s="49" t="str">
        <f aca="false">IF(H536="","",H536*I536)</f>
        <v/>
      </c>
      <c r="K536" s="45"/>
      <c r="L536" s="45"/>
      <c r="M536" s="50" t="str">
        <f aca="false">IF(G536="","",IF(G536="Fechado ganho","Ganha",IF(G536="Fechado perdido","Perdida","Aberta")))</f>
        <v/>
      </c>
      <c r="N536" s="51" t="str">
        <f aca="false">IF(B536="","",IF(M536="Aberta",DataRef-B536,IF(L536="","",L536-B536)))</f>
        <v/>
      </c>
      <c r="O536" s="50" t="str">
        <f aca="false">IF(M536&lt;&gt;"Aberta","",IF(AND(K536&lt;&gt;"",K536&lt;DataRef),"Previsão vencida",IF(N536&gt;DiasParada,"Parada","")))</f>
        <v/>
      </c>
    </row>
    <row r="537" customFormat="false" ht="15" hidden="false" customHeight="false" outlineLevel="0" collapsed="false">
      <c r="A537" s="44"/>
      <c r="B537" s="45"/>
      <c r="C537" s="46"/>
      <c r="D537" s="46"/>
      <c r="E537" s="7" t="str">
        <f aca="false">IF(C537="","",IFERROR(INDEX(cl_Regiao,MATCH(C537,cl_Nome,0)),""))</f>
        <v/>
      </c>
      <c r="F537" s="46"/>
      <c r="G537" s="46"/>
      <c r="H537" s="47"/>
      <c r="I537" s="48" t="str">
        <f aca="false">IF(G537="","",IFERROR(INDEX(pr_Prob,MATCH(G537,pr_Etapa,0)),0))</f>
        <v/>
      </c>
      <c r="J537" s="49" t="str">
        <f aca="false">IF(H537="","",H537*I537)</f>
        <v/>
      </c>
      <c r="K537" s="45"/>
      <c r="L537" s="45"/>
      <c r="M537" s="50" t="str">
        <f aca="false">IF(G537="","",IF(G537="Fechado ganho","Ganha",IF(G537="Fechado perdido","Perdida","Aberta")))</f>
        <v/>
      </c>
      <c r="N537" s="51" t="str">
        <f aca="false">IF(B537="","",IF(M537="Aberta",DataRef-B537,IF(L537="","",L537-B537)))</f>
        <v/>
      </c>
      <c r="O537" s="50" t="str">
        <f aca="false">IF(M537&lt;&gt;"Aberta","",IF(AND(K537&lt;&gt;"",K537&lt;DataRef),"Previsão vencida",IF(N537&gt;DiasParada,"Parada","")))</f>
        <v/>
      </c>
    </row>
    <row r="538" customFormat="false" ht="15" hidden="false" customHeight="false" outlineLevel="0" collapsed="false">
      <c r="A538" s="44"/>
      <c r="B538" s="45"/>
      <c r="C538" s="46"/>
      <c r="D538" s="46"/>
      <c r="E538" s="7" t="str">
        <f aca="false">IF(C538="","",IFERROR(INDEX(cl_Regiao,MATCH(C538,cl_Nome,0)),""))</f>
        <v/>
      </c>
      <c r="F538" s="46"/>
      <c r="G538" s="46"/>
      <c r="H538" s="47"/>
      <c r="I538" s="48" t="str">
        <f aca="false">IF(G538="","",IFERROR(INDEX(pr_Prob,MATCH(G538,pr_Etapa,0)),0))</f>
        <v/>
      </c>
      <c r="J538" s="49" t="str">
        <f aca="false">IF(H538="","",H538*I538)</f>
        <v/>
      </c>
      <c r="K538" s="45"/>
      <c r="L538" s="45"/>
      <c r="M538" s="50" t="str">
        <f aca="false">IF(G538="","",IF(G538="Fechado ganho","Ganha",IF(G538="Fechado perdido","Perdida","Aberta")))</f>
        <v/>
      </c>
      <c r="N538" s="51" t="str">
        <f aca="false">IF(B538="","",IF(M538="Aberta",DataRef-B538,IF(L538="","",L538-B538)))</f>
        <v/>
      </c>
      <c r="O538" s="50" t="str">
        <f aca="false">IF(M538&lt;&gt;"Aberta","",IF(AND(K538&lt;&gt;"",K538&lt;DataRef),"Previsão vencida",IF(N538&gt;DiasParada,"Parada","")))</f>
        <v/>
      </c>
    </row>
    <row r="539" customFormat="false" ht="15" hidden="false" customHeight="false" outlineLevel="0" collapsed="false">
      <c r="A539" s="44"/>
      <c r="B539" s="45"/>
      <c r="C539" s="46"/>
      <c r="D539" s="46"/>
      <c r="E539" s="7" t="str">
        <f aca="false">IF(C539="","",IFERROR(INDEX(cl_Regiao,MATCH(C539,cl_Nome,0)),""))</f>
        <v/>
      </c>
      <c r="F539" s="46"/>
      <c r="G539" s="46"/>
      <c r="H539" s="47"/>
      <c r="I539" s="48" t="str">
        <f aca="false">IF(G539="","",IFERROR(INDEX(pr_Prob,MATCH(G539,pr_Etapa,0)),0))</f>
        <v/>
      </c>
      <c r="J539" s="49" t="str">
        <f aca="false">IF(H539="","",H539*I539)</f>
        <v/>
      </c>
      <c r="K539" s="45"/>
      <c r="L539" s="45"/>
      <c r="M539" s="50" t="str">
        <f aca="false">IF(G539="","",IF(G539="Fechado ganho","Ganha",IF(G539="Fechado perdido","Perdida","Aberta")))</f>
        <v/>
      </c>
      <c r="N539" s="51" t="str">
        <f aca="false">IF(B539="","",IF(M539="Aberta",DataRef-B539,IF(L539="","",L539-B539)))</f>
        <v/>
      </c>
      <c r="O539" s="50" t="str">
        <f aca="false">IF(M539&lt;&gt;"Aberta","",IF(AND(K539&lt;&gt;"",K539&lt;DataRef),"Previsão vencida",IF(N539&gt;DiasParada,"Parada","")))</f>
        <v/>
      </c>
    </row>
    <row r="540" customFormat="false" ht="15" hidden="false" customHeight="false" outlineLevel="0" collapsed="false">
      <c r="A540" s="44"/>
      <c r="B540" s="45"/>
      <c r="C540" s="46"/>
      <c r="D540" s="46"/>
      <c r="E540" s="7" t="str">
        <f aca="false">IF(C540="","",IFERROR(INDEX(cl_Regiao,MATCH(C540,cl_Nome,0)),""))</f>
        <v/>
      </c>
      <c r="F540" s="46"/>
      <c r="G540" s="46"/>
      <c r="H540" s="47"/>
      <c r="I540" s="48" t="str">
        <f aca="false">IF(G540="","",IFERROR(INDEX(pr_Prob,MATCH(G540,pr_Etapa,0)),0))</f>
        <v/>
      </c>
      <c r="J540" s="49" t="str">
        <f aca="false">IF(H540="","",H540*I540)</f>
        <v/>
      </c>
      <c r="K540" s="45"/>
      <c r="L540" s="45"/>
      <c r="M540" s="50" t="str">
        <f aca="false">IF(G540="","",IF(G540="Fechado ganho","Ganha",IF(G540="Fechado perdido","Perdida","Aberta")))</f>
        <v/>
      </c>
      <c r="N540" s="51" t="str">
        <f aca="false">IF(B540="","",IF(M540="Aberta",DataRef-B540,IF(L540="","",L540-B540)))</f>
        <v/>
      </c>
      <c r="O540" s="50" t="str">
        <f aca="false">IF(M540&lt;&gt;"Aberta","",IF(AND(K540&lt;&gt;"",K540&lt;DataRef),"Previsão vencida",IF(N540&gt;DiasParada,"Parada","")))</f>
        <v/>
      </c>
    </row>
    <row r="541" customFormat="false" ht="15" hidden="false" customHeight="false" outlineLevel="0" collapsed="false">
      <c r="A541" s="44"/>
      <c r="B541" s="45"/>
      <c r="C541" s="46"/>
      <c r="D541" s="46"/>
      <c r="E541" s="7" t="str">
        <f aca="false">IF(C541="","",IFERROR(INDEX(cl_Regiao,MATCH(C541,cl_Nome,0)),""))</f>
        <v/>
      </c>
      <c r="F541" s="46"/>
      <c r="G541" s="46"/>
      <c r="H541" s="47"/>
      <c r="I541" s="48" t="str">
        <f aca="false">IF(G541="","",IFERROR(INDEX(pr_Prob,MATCH(G541,pr_Etapa,0)),0))</f>
        <v/>
      </c>
      <c r="J541" s="49" t="str">
        <f aca="false">IF(H541="","",H541*I541)</f>
        <v/>
      </c>
      <c r="K541" s="45"/>
      <c r="L541" s="45"/>
      <c r="M541" s="50" t="str">
        <f aca="false">IF(G541="","",IF(G541="Fechado ganho","Ganha",IF(G541="Fechado perdido","Perdida","Aberta")))</f>
        <v/>
      </c>
      <c r="N541" s="51" t="str">
        <f aca="false">IF(B541="","",IF(M541="Aberta",DataRef-B541,IF(L541="","",L541-B541)))</f>
        <v/>
      </c>
      <c r="O541" s="50" t="str">
        <f aca="false">IF(M541&lt;&gt;"Aberta","",IF(AND(K541&lt;&gt;"",K541&lt;DataRef),"Previsão vencida",IF(N541&gt;DiasParada,"Parada","")))</f>
        <v/>
      </c>
    </row>
    <row r="542" customFormat="false" ht="15" hidden="false" customHeight="false" outlineLevel="0" collapsed="false">
      <c r="A542" s="44"/>
      <c r="B542" s="45"/>
      <c r="C542" s="46"/>
      <c r="D542" s="46"/>
      <c r="E542" s="7" t="str">
        <f aca="false">IF(C542="","",IFERROR(INDEX(cl_Regiao,MATCH(C542,cl_Nome,0)),""))</f>
        <v/>
      </c>
      <c r="F542" s="46"/>
      <c r="G542" s="46"/>
      <c r="H542" s="47"/>
      <c r="I542" s="48" t="str">
        <f aca="false">IF(G542="","",IFERROR(INDEX(pr_Prob,MATCH(G542,pr_Etapa,0)),0))</f>
        <v/>
      </c>
      <c r="J542" s="49" t="str">
        <f aca="false">IF(H542="","",H542*I542)</f>
        <v/>
      </c>
      <c r="K542" s="45"/>
      <c r="L542" s="45"/>
      <c r="M542" s="50" t="str">
        <f aca="false">IF(G542="","",IF(G542="Fechado ganho","Ganha",IF(G542="Fechado perdido","Perdida","Aberta")))</f>
        <v/>
      </c>
      <c r="N542" s="51" t="str">
        <f aca="false">IF(B542="","",IF(M542="Aberta",DataRef-B542,IF(L542="","",L542-B542)))</f>
        <v/>
      </c>
      <c r="O542" s="50" t="str">
        <f aca="false">IF(M542&lt;&gt;"Aberta","",IF(AND(K542&lt;&gt;"",K542&lt;DataRef),"Previsão vencida",IF(N542&gt;DiasParada,"Parada","")))</f>
        <v/>
      </c>
    </row>
    <row r="543" customFormat="false" ht="15" hidden="false" customHeight="false" outlineLevel="0" collapsed="false">
      <c r="A543" s="44"/>
      <c r="B543" s="45"/>
      <c r="C543" s="46"/>
      <c r="D543" s="46"/>
      <c r="E543" s="7" t="str">
        <f aca="false">IF(C543="","",IFERROR(INDEX(cl_Regiao,MATCH(C543,cl_Nome,0)),""))</f>
        <v/>
      </c>
      <c r="F543" s="46"/>
      <c r="G543" s="46"/>
      <c r="H543" s="47"/>
      <c r="I543" s="48" t="str">
        <f aca="false">IF(G543="","",IFERROR(INDEX(pr_Prob,MATCH(G543,pr_Etapa,0)),0))</f>
        <v/>
      </c>
      <c r="J543" s="49" t="str">
        <f aca="false">IF(H543="","",H543*I543)</f>
        <v/>
      </c>
      <c r="K543" s="45"/>
      <c r="L543" s="45"/>
      <c r="M543" s="50" t="str">
        <f aca="false">IF(G543="","",IF(G543="Fechado ganho","Ganha",IF(G543="Fechado perdido","Perdida","Aberta")))</f>
        <v/>
      </c>
      <c r="N543" s="51" t="str">
        <f aca="false">IF(B543="","",IF(M543="Aberta",DataRef-B543,IF(L543="","",L543-B543)))</f>
        <v/>
      </c>
      <c r="O543" s="50" t="str">
        <f aca="false">IF(M543&lt;&gt;"Aberta","",IF(AND(K543&lt;&gt;"",K543&lt;DataRef),"Previsão vencida",IF(N543&gt;DiasParada,"Parada","")))</f>
        <v/>
      </c>
    </row>
    <row r="544" customFormat="false" ht="15" hidden="false" customHeight="false" outlineLevel="0" collapsed="false">
      <c r="A544" s="44"/>
      <c r="B544" s="45"/>
      <c r="C544" s="46"/>
      <c r="D544" s="46"/>
      <c r="E544" s="7" t="str">
        <f aca="false">IF(C544="","",IFERROR(INDEX(cl_Regiao,MATCH(C544,cl_Nome,0)),""))</f>
        <v/>
      </c>
      <c r="F544" s="46"/>
      <c r="G544" s="46"/>
      <c r="H544" s="47"/>
      <c r="I544" s="48" t="str">
        <f aca="false">IF(G544="","",IFERROR(INDEX(pr_Prob,MATCH(G544,pr_Etapa,0)),0))</f>
        <v/>
      </c>
      <c r="J544" s="49" t="str">
        <f aca="false">IF(H544="","",H544*I544)</f>
        <v/>
      </c>
      <c r="K544" s="45"/>
      <c r="L544" s="45"/>
      <c r="M544" s="50" t="str">
        <f aca="false">IF(G544="","",IF(G544="Fechado ganho","Ganha",IF(G544="Fechado perdido","Perdida","Aberta")))</f>
        <v/>
      </c>
      <c r="N544" s="51" t="str">
        <f aca="false">IF(B544="","",IF(M544="Aberta",DataRef-B544,IF(L544="","",L544-B544)))</f>
        <v/>
      </c>
      <c r="O544" s="50" t="str">
        <f aca="false">IF(M544&lt;&gt;"Aberta","",IF(AND(K544&lt;&gt;"",K544&lt;DataRef),"Previsão vencida",IF(N544&gt;DiasParada,"Parada","")))</f>
        <v/>
      </c>
    </row>
    <row r="545" customFormat="false" ht="15" hidden="false" customHeight="false" outlineLevel="0" collapsed="false">
      <c r="A545" s="44"/>
      <c r="B545" s="45"/>
      <c r="C545" s="46"/>
      <c r="D545" s="46"/>
      <c r="E545" s="7" t="str">
        <f aca="false">IF(C545="","",IFERROR(INDEX(cl_Regiao,MATCH(C545,cl_Nome,0)),""))</f>
        <v/>
      </c>
      <c r="F545" s="46"/>
      <c r="G545" s="46"/>
      <c r="H545" s="47"/>
      <c r="I545" s="48" t="str">
        <f aca="false">IF(G545="","",IFERROR(INDEX(pr_Prob,MATCH(G545,pr_Etapa,0)),0))</f>
        <v/>
      </c>
      <c r="J545" s="49" t="str">
        <f aca="false">IF(H545="","",H545*I545)</f>
        <v/>
      </c>
      <c r="K545" s="45"/>
      <c r="L545" s="45"/>
      <c r="M545" s="50" t="str">
        <f aca="false">IF(G545="","",IF(G545="Fechado ganho","Ganha",IF(G545="Fechado perdido","Perdida","Aberta")))</f>
        <v/>
      </c>
      <c r="N545" s="51" t="str">
        <f aca="false">IF(B545="","",IF(M545="Aberta",DataRef-B545,IF(L545="","",L545-B545)))</f>
        <v/>
      </c>
      <c r="O545" s="50" t="str">
        <f aca="false">IF(M545&lt;&gt;"Aberta","",IF(AND(K545&lt;&gt;"",K545&lt;DataRef),"Previsão vencida",IF(N545&gt;DiasParada,"Parada","")))</f>
        <v/>
      </c>
    </row>
    <row r="546" customFormat="false" ht="15" hidden="false" customHeight="false" outlineLevel="0" collapsed="false">
      <c r="A546" s="44"/>
      <c r="B546" s="45"/>
      <c r="C546" s="46"/>
      <c r="D546" s="46"/>
      <c r="E546" s="7" t="str">
        <f aca="false">IF(C546="","",IFERROR(INDEX(cl_Regiao,MATCH(C546,cl_Nome,0)),""))</f>
        <v/>
      </c>
      <c r="F546" s="46"/>
      <c r="G546" s="46"/>
      <c r="H546" s="47"/>
      <c r="I546" s="48" t="str">
        <f aca="false">IF(G546="","",IFERROR(INDEX(pr_Prob,MATCH(G546,pr_Etapa,0)),0))</f>
        <v/>
      </c>
      <c r="J546" s="49" t="str">
        <f aca="false">IF(H546="","",H546*I546)</f>
        <v/>
      </c>
      <c r="K546" s="45"/>
      <c r="L546" s="45"/>
      <c r="M546" s="50" t="str">
        <f aca="false">IF(G546="","",IF(G546="Fechado ganho","Ganha",IF(G546="Fechado perdido","Perdida","Aberta")))</f>
        <v/>
      </c>
      <c r="N546" s="51" t="str">
        <f aca="false">IF(B546="","",IF(M546="Aberta",DataRef-B546,IF(L546="","",L546-B546)))</f>
        <v/>
      </c>
      <c r="O546" s="50" t="str">
        <f aca="false">IF(M546&lt;&gt;"Aberta","",IF(AND(K546&lt;&gt;"",K546&lt;DataRef),"Previsão vencida",IF(N546&gt;DiasParada,"Parada","")))</f>
        <v/>
      </c>
    </row>
    <row r="547" customFormat="false" ht="15" hidden="false" customHeight="false" outlineLevel="0" collapsed="false">
      <c r="A547" s="44"/>
      <c r="B547" s="45"/>
      <c r="C547" s="46"/>
      <c r="D547" s="46"/>
      <c r="E547" s="7" t="str">
        <f aca="false">IF(C547="","",IFERROR(INDEX(cl_Regiao,MATCH(C547,cl_Nome,0)),""))</f>
        <v/>
      </c>
      <c r="F547" s="46"/>
      <c r="G547" s="46"/>
      <c r="H547" s="47"/>
      <c r="I547" s="48" t="str">
        <f aca="false">IF(G547="","",IFERROR(INDEX(pr_Prob,MATCH(G547,pr_Etapa,0)),0))</f>
        <v/>
      </c>
      <c r="J547" s="49" t="str">
        <f aca="false">IF(H547="","",H547*I547)</f>
        <v/>
      </c>
      <c r="K547" s="45"/>
      <c r="L547" s="45"/>
      <c r="M547" s="50" t="str">
        <f aca="false">IF(G547="","",IF(G547="Fechado ganho","Ganha",IF(G547="Fechado perdido","Perdida","Aberta")))</f>
        <v/>
      </c>
      <c r="N547" s="51" t="str">
        <f aca="false">IF(B547="","",IF(M547="Aberta",DataRef-B547,IF(L547="","",L547-B547)))</f>
        <v/>
      </c>
      <c r="O547" s="50" t="str">
        <f aca="false">IF(M547&lt;&gt;"Aberta","",IF(AND(K547&lt;&gt;"",K547&lt;DataRef),"Previsão vencida",IF(N547&gt;DiasParada,"Parada","")))</f>
        <v/>
      </c>
    </row>
    <row r="548" customFormat="false" ht="15" hidden="false" customHeight="false" outlineLevel="0" collapsed="false">
      <c r="A548" s="44"/>
      <c r="B548" s="45"/>
      <c r="C548" s="46"/>
      <c r="D548" s="46"/>
      <c r="E548" s="7" t="str">
        <f aca="false">IF(C548="","",IFERROR(INDEX(cl_Regiao,MATCH(C548,cl_Nome,0)),""))</f>
        <v/>
      </c>
      <c r="F548" s="46"/>
      <c r="G548" s="46"/>
      <c r="H548" s="47"/>
      <c r="I548" s="48" t="str">
        <f aca="false">IF(G548="","",IFERROR(INDEX(pr_Prob,MATCH(G548,pr_Etapa,0)),0))</f>
        <v/>
      </c>
      <c r="J548" s="49" t="str">
        <f aca="false">IF(H548="","",H548*I548)</f>
        <v/>
      </c>
      <c r="K548" s="45"/>
      <c r="L548" s="45"/>
      <c r="M548" s="50" t="str">
        <f aca="false">IF(G548="","",IF(G548="Fechado ganho","Ganha",IF(G548="Fechado perdido","Perdida","Aberta")))</f>
        <v/>
      </c>
      <c r="N548" s="51" t="str">
        <f aca="false">IF(B548="","",IF(M548="Aberta",DataRef-B548,IF(L548="","",L548-B548)))</f>
        <v/>
      </c>
      <c r="O548" s="50" t="str">
        <f aca="false">IF(M548&lt;&gt;"Aberta","",IF(AND(K548&lt;&gt;"",K548&lt;DataRef),"Previsão vencida",IF(N548&gt;DiasParada,"Parada","")))</f>
        <v/>
      </c>
    </row>
    <row r="549" customFormat="false" ht="15" hidden="false" customHeight="false" outlineLevel="0" collapsed="false">
      <c r="A549" s="44"/>
      <c r="B549" s="45"/>
      <c r="C549" s="46"/>
      <c r="D549" s="46"/>
      <c r="E549" s="7" t="str">
        <f aca="false">IF(C549="","",IFERROR(INDEX(cl_Regiao,MATCH(C549,cl_Nome,0)),""))</f>
        <v/>
      </c>
      <c r="F549" s="46"/>
      <c r="G549" s="46"/>
      <c r="H549" s="47"/>
      <c r="I549" s="48" t="str">
        <f aca="false">IF(G549="","",IFERROR(INDEX(pr_Prob,MATCH(G549,pr_Etapa,0)),0))</f>
        <v/>
      </c>
      <c r="J549" s="49" t="str">
        <f aca="false">IF(H549="","",H549*I549)</f>
        <v/>
      </c>
      <c r="K549" s="45"/>
      <c r="L549" s="45"/>
      <c r="M549" s="50" t="str">
        <f aca="false">IF(G549="","",IF(G549="Fechado ganho","Ganha",IF(G549="Fechado perdido","Perdida","Aberta")))</f>
        <v/>
      </c>
      <c r="N549" s="51" t="str">
        <f aca="false">IF(B549="","",IF(M549="Aberta",DataRef-B549,IF(L549="","",L549-B549)))</f>
        <v/>
      </c>
      <c r="O549" s="50" t="str">
        <f aca="false">IF(M549&lt;&gt;"Aberta","",IF(AND(K549&lt;&gt;"",K549&lt;DataRef),"Previsão vencida",IF(N549&gt;DiasParada,"Parada","")))</f>
        <v/>
      </c>
    </row>
    <row r="550" customFormat="false" ht="15" hidden="false" customHeight="false" outlineLevel="0" collapsed="false">
      <c r="A550" s="44"/>
      <c r="B550" s="45"/>
      <c r="C550" s="46"/>
      <c r="D550" s="46"/>
      <c r="E550" s="7" t="str">
        <f aca="false">IF(C550="","",IFERROR(INDEX(cl_Regiao,MATCH(C550,cl_Nome,0)),""))</f>
        <v/>
      </c>
      <c r="F550" s="46"/>
      <c r="G550" s="46"/>
      <c r="H550" s="47"/>
      <c r="I550" s="48" t="str">
        <f aca="false">IF(G550="","",IFERROR(INDEX(pr_Prob,MATCH(G550,pr_Etapa,0)),0))</f>
        <v/>
      </c>
      <c r="J550" s="49" t="str">
        <f aca="false">IF(H550="","",H550*I550)</f>
        <v/>
      </c>
      <c r="K550" s="45"/>
      <c r="L550" s="45"/>
      <c r="M550" s="50" t="str">
        <f aca="false">IF(G550="","",IF(G550="Fechado ganho","Ganha",IF(G550="Fechado perdido","Perdida","Aberta")))</f>
        <v/>
      </c>
      <c r="N550" s="51" t="str">
        <f aca="false">IF(B550="","",IF(M550="Aberta",DataRef-B550,IF(L550="","",L550-B550)))</f>
        <v/>
      </c>
      <c r="O550" s="50" t="str">
        <f aca="false">IF(M550&lt;&gt;"Aberta","",IF(AND(K550&lt;&gt;"",K550&lt;DataRef),"Previsão vencida",IF(N550&gt;DiasParada,"Parada","")))</f>
        <v/>
      </c>
    </row>
    <row r="551" customFormat="false" ht="15" hidden="false" customHeight="false" outlineLevel="0" collapsed="false">
      <c r="A551" s="44"/>
      <c r="B551" s="45"/>
      <c r="C551" s="46"/>
      <c r="D551" s="46"/>
      <c r="E551" s="7" t="str">
        <f aca="false">IF(C551="","",IFERROR(INDEX(cl_Regiao,MATCH(C551,cl_Nome,0)),""))</f>
        <v/>
      </c>
      <c r="F551" s="46"/>
      <c r="G551" s="46"/>
      <c r="H551" s="47"/>
      <c r="I551" s="48" t="str">
        <f aca="false">IF(G551="","",IFERROR(INDEX(pr_Prob,MATCH(G551,pr_Etapa,0)),0))</f>
        <v/>
      </c>
      <c r="J551" s="49" t="str">
        <f aca="false">IF(H551="","",H551*I551)</f>
        <v/>
      </c>
      <c r="K551" s="45"/>
      <c r="L551" s="45"/>
      <c r="M551" s="50" t="str">
        <f aca="false">IF(G551="","",IF(G551="Fechado ganho","Ganha",IF(G551="Fechado perdido","Perdida","Aberta")))</f>
        <v/>
      </c>
      <c r="N551" s="51" t="str">
        <f aca="false">IF(B551="","",IF(M551="Aberta",DataRef-B551,IF(L551="","",L551-B551)))</f>
        <v/>
      </c>
      <c r="O551" s="50" t="str">
        <f aca="false">IF(M551&lt;&gt;"Aberta","",IF(AND(K551&lt;&gt;"",K551&lt;DataRef),"Previsão vencida",IF(N551&gt;DiasParada,"Parada","")))</f>
        <v/>
      </c>
    </row>
    <row r="552" customFormat="false" ht="15" hidden="false" customHeight="false" outlineLevel="0" collapsed="false">
      <c r="A552" s="44"/>
      <c r="B552" s="45"/>
      <c r="C552" s="46"/>
      <c r="D552" s="46"/>
      <c r="E552" s="7" t="str">
        <f aca="false">IF(C552="","",IFERROR(INDEX(cl_Regiao,MATCH(C552,cl_Nome,0)),""))</f>
        <v/>
      </c>
      <c r="F552" s="46"/>
      <c r="G552" s="46"/>
      <c r="H552" s="47"/>
      <c r="I552" s="48" t="str">
        <f aca="false">IF(G552="","",IFERROR(INDEX(pr_Prob,MATCH(G552,pr_Etapa,0)),0))</f>
        <v/>
      </c>
      <c r="J552" s="49" t="str">
        <f aca="false">IF(H552="","",H552*I552)</f>
        <v/>
      </c>
      <c r="K552" s="45"/>
      <c r="L552" s="45"/>
      <c r="M552" s="50" t="str">
        <f aca="false">IF(G552="","",IF(G552="Fechado ganho","Ganha",IF(G552="Fechado perdido","Perdida","Aberta")))</f>
        <v/>
      </c>
      <c r="N552" s="51" t="str">
        <f aca="false">IF(B552="","",IF(M552="Aberta",DataRef-B552,IF(L552="","",L552-B552)))</f>
        <v/>
      </c>
      <c r="O552" s="50" t="str">
        <f aca="false">IF(M552&lt;&gt;"Aberta","",IF(AND(K552&lt;&gt;"",K552&lt;DataRef),"Previsão vencida",IF(N552&gt;DiasParada,"Parada","")))</f>
        <v/>
      </c>
    </row>
    <row r="553" customFormat="false" ht="15" hidden="false" customHeight="false" outlineLevel="0" collapsed="false">
      <c r="A553" s="44"/>
      <c r="B553" s="45"/>
      <c r="C553" s="46"/>
      <c r="D553" s="46"/>
      <c r="E553" s="7" t="str">
        <f aca="false">IF(C553="","",IFERROR(INDEX(cl_Regiao,MATCH(C553,cl_Nome,0)),""))</f>
        <v/>
      </c>
      <c r="F553" s="46"/>
      <c r="G553" s="46"/>
      <c r="H553" s="47"/>
      <c r="I553" s="48" t="str">
        <f aca="false">IF(G553="","",IFERROR(INDEX(pr_Prob,MATCH(G553,pr_Etapa,0)),0))</f>
        <v/>
      </c>
      <c r="J553" s="49" t="str">
        <f aca="false">IF(H553="","",H553*I553)</f>
        <v/>
      </c>
      <c r="K553" s="45"/>
      <c r="L553" s="45"/>
      <c r="M553" s="50" t="str">
        <f aca="false">IF(G553="","",IF(G553="Fechado ganho","Ganha",IF(G553="Fechado perdido","Perdida","Aberta")))</f>
        <v/>
      </c>
      <c r="N553" s="51" t="str">
        <f aca="false">IF(B553="","",IF(M553="Aberta",DataRef-B553,IF(L553="","",L553-B553)))</f>
        <v/>
      </c>
      <c r="O553" s="50" t="str">
        <f aca="false">IF(M553&lt;&gt;"Aberta","",IF(AND(K553&lt;&gt;"",K553&lt;DataRef),"Previsão vencida",IF(N553&gt;DiasParada,"Parada","")))</f>
        <v/>
      </c>
    </row>
    <row r="554" customFormat="false" ht="15" hidden="false" customHeight="false" outlineLevel="0" collapsed="false">
      <c r="A554" s="44"/>
      <c r="B554" s="45"/>
      <c r="C554" s="46"/>
      <c r="D554" s="46"/>
      <c r="E554" s="7" t="str">
        <f aca="false">IF(C554="","",IFERROR(INDEX(cl_Regiao,MATCH(C554,cl_Nome,0)),""))</f>
        <v/>
      </c>
      <c r="F554" s="46"/>
      <c r="G554" s="46"/>
      <c r="H554" s="47"/>
      <c r="I554" s="48" t="str">
        <f aca="false">IF(G554="","",IFERROR(INDEX(pr_Prob,MATCH(G554,pr_Etapa,0)),0))</f>
        <v/>
      </c>
      <c r="J554" s="49" t="str">
        <f aca="false">IF(H554="","",H554*I554)</f>
        <v/>
      </c>
      <c r="K554" s="45"/>
      <c r="L554" s="45"/>
      <c r="M554" s="50" t="str">
        <f aca="false">IF(G554="","",IF(G554="Fechado ganho","Ganha",IF(G554="Fechado perdido","Perdida","Aberta")))</f>
        <v/>
      </c>
      <c r="N554" s="51" t="str">
        <f aca="false">IF(B554="","",IF(M554="Aberta",DataRef-B554,IF(L554="","",L554-B554)))</f>
        <v/>
      </c>
      <c r="O554" s="50" t="str">
        <f aca="false">IF(M554&lt;&gt;"Aberta","",IF(AND(K554&lt;&gt;"",K554&lt;DataRef),"Previsão vencida",IF(N554&gt;DiasParada,"Parada","")))</f>
        <v/>
      </c>
    </row>
    <row r="555" customFormat="false" ht="15" hidden="false" customHeight="false" outlineLevel="0" collapsed="false">
      <c r="A555" s="44"/>
      <c r="B555" s="45"/>
      <c r="C555" s="46"/>
      <c r="D555" s="46"/>
      <c r="E555" s="7" t="str">
        <f aca="false">IF(C555="","",IFERROR(INDEX(cl_Regiao,MATCH(C555,cl_Nome,0)),""))</f>
        <v/>
      </c>
      <c r="F555" s="46"/>
      <c r="G555" s="46"/>
      <c r="H555" s="47"/>
      <c r="I555" s="48" t="str">
        <f aca="false">IF(G555="","",IFERROR(INDEX(pr_Prob,MATCH(G555,pr_Etapa,0)),0))</f>
        <v/>
      </c>
      <c r="J555" s="49" t="str">
        <f aca="false">IF(H555="","",H555*I555)</f>
        <v/>
      </c>
      <c r="K555" s="45"/>
      <c r="L555" s="45"/>
      <c r="M555" s="50" t="str">
        <f aca="false">IF(G555="","",IF(G555="Fechado ganho","Ganha",IF(G555="Fechado perdido","Perdida","Aberta")))</f>
        <v/>
      </c>
      <c r="N555" s="51" t="str">
        <f aca="false">IF(B555="","",IF(M555="Aberta",DataRef-B555,IF(L555="","",L555-B555)))</f>
        <v/>
      </c>
      <c r="O555" s="50" t="str">
        <f aca="false">IF(M555&lt;&gt;"Aberta","",IF(AND(K555&lt;&gt;"",K555&lt;DataRef),"Previsão vencida",IF(N555&gt;DiasParada,"Parada","")))</f>
        <v/>
      </c>
    </row>
    <row r="556" customFormat="false" ht="15" hidden="false" customHeight="false" outlineLevel="0" collapsed="false">
      <c r="A556" s="44"/>
      <c r="B556" s="45"/>
      <c r="C556" s="46"/>
      <c r="D556" s="46"/>
      <c r="E556" s="7" t="str">
        <f aca="false">IF(C556="","",IFERROR(INDEX(cl_Regiao,MATCH(C556,cl_Nome,0)),""))</f>
        <v/>
      </c>
      <c r="F556" s="46"/>
      <c r="G556" s="46"/>
      <c r="H556" s="47"/>
      <c r="I556" s="48" t="str">
        <f aca="false">IF(G556="","",IFERROR(INDEX(pr_Prob,MATCH(G556,pr_Etapa,0)),0))</f>
        <v/>
      </c>
      <c r="J556" s="49" t="str">
        <f aca="false">IF(H556="","",H556*I556)</f>
        <v/>
      </c>
      <c r="K556" s="45"/>
      <c r="L556" s="45"/>
      <c r="M556" s="50" t="str">
        <f aca="false">IF(G556="","",IF(G556="Fechado ganho","Ganha",IF(G556="Fechado perdido","Perdida","Aberta")))</f>
        <v/>
      </c>
      <c r="N556" s="51" t="str">
        <f aca="false">IF(B556="","",IF(M556="Aberta",DataRef-B556,IF(L556="","",L556-B556)))</f>
        <v/>
      </c>
      <c r="O556" s="50" t="str">
        <f aca="false">IF(M556&lt;&gt;"Aberta","",IF(AND(K556&lt;&gt;"",K556&lt;DataRef),"Previsão vencida",IF(N556&gt;DiasParada,"Parada","")))</f>
        <v/>
      </c>
    </row>
    <row r="557" customFormat="false" ht="15" hidden="false" customHeight="false" outlineLevel="0" collapsed="false">
      <c r="A557" s="44"/>
      <c r="B557" s="45"/>
      <c r="C557" s="46"/>
      <c r="D557" s="46"/>
      <c r="E557" s="7" t="str">
        <f aca="false">IF(C557="","",IFERROR(INDEX(cl_Regiao,MATCH(C557,cl_Nome,0)),""))</f>
        <v/>
      </c>
      <c r="F557" s="46"/>
      <c r="G557" s="46"/>
      <c r="H557" s="47"/>
      <c r="I557" s="48" t="str">
        <f aca="false">IF(G557="","",IFERROR(INDEX(pr_Prob,MATCH(G557,pr_Etapa,0)),0))</f>
        <v/>
      </c>
      <c r="J557" s="49" t="str">
        <f aca="false">IF(H557="","",H557*I557)</f>
        <v/>
      </c>
      <c r="K557" s="45"/>
      <c r="L557" s="45"/>
      <c r="M557" s="50" t="str">
        <f aca="false">IF(G557="","",IF(G557="Fechado ganho","Ganha",IF(G557="Fechado perdido","Perdida","Aberta")))</f>
        <v/>
      </c>
      <c r="N557" s="51" t="str">
        <f aca="false">IF(B557="","",IF(M557="Aberta",DataRef-B557,IF(L557="","",L557-B557)))</f>
        <v/>
      </c>
      <c r="O557" s="50" t="str">
        <f aca="false">IF(M557&lt;&gt;"Aberta","",IF(AND(K557&lt;&gt;"",K557&lt;DataRef),"Previsão vencida",IF(N557&gt;DiasParada,"Parada","")))</f>
        <v/>
      </c>
    </row>
    <row r="558" customFormat="false" ht="15" hidden="false" customHeight="false" outlineLevel="0" collapsed="false">
      <c r="A558" s="44"/>
      <c r="B558" s="45"/>
      <c r="C558" s="46"/>
      <c r="D558" s="46"/>
      <c r="E558" s="7" t="str">
        <f aca="false">IF(C558="","",IFERROR(INDEX(cl_Regiao,MATCH(C558,cl_Nome,0)),""))</f>
        <v/>
      </c>
      <c r="F558" s="46"/>
      <c r="G558" s="46"/>
      <c r="H558" s="47"/>
      <c r="I558" s="48" t="str">
        <f aca="false">IF(G558="","",IFERROR(INDEX(pr_Prob,MATCH(G558,pr_Etapa,0)),0))</f>
        <v/>
      </c>
      <c r="J558" s="49" t="str">
        <f aca="false">IF(H558="","",H558*I558)</f>
        <v/>
      </c>
      <c r="K558" s="45"/>
      <c r="L558" s="45"/>
      <c r="M558" s="50" t="str">
        <f aca="false">IF(G558="","",IF(G558="Fechado ganho","Ganha",IF(G558="Fechado perdido","Perdida","Aberta")))</f>
        <v/>
      </c>
      <c r="N558" s="51" t="str">
        <f aca="false">IF(B558="","",IF(M558="Aberta",DataRef-B558,IF(L558="","",L558-B558)))</f>
        <v/>
      </c>
      <c r="O558" s="50" t="str">
        <f aca="false">IF(M558&lt;&gt;"Aberta","",IF(AND(K558&lt;&gt;"",K558&lt;DataRef),"Previsão vencida",IF(N558&gt;DiasParada,"Parada","")))</f>
        <v/>
      </c>
    </row>
    <row r="559" customFormat="false" ht="15" hidden="false" customHeight="false" outlineLevel="0" collapsed="false">
      <c r="A559" s="44"/>
      <c r="B559" s="45"/>
      <c r="C559" s="46"/>
      <c r="D559" s="46"/>
      <c r="E559" s="7" t="str">
        <f aca="false">IF(C559="","",IFERROR(INDEX(cl_Regiao,MATCH(C559,cl_Nome,0)),""))</f>
        <v/>
      </c>
      <c r="F559" s="46"/>
      <c r="G559" s="46"/>
      <c r="H559" s="47"/>
      <c r="I559" s="48" t="str">
        <f aca="false">IF(G559="","",IFERROR(INDEX(pr_Prob,MATCH(G559,pr_Etapa,0)),0))</f>
        <v/>
      </c>
      <c r="J559" s="49" t="str">
        <f aca="false">IF(H559="","",H559*I559)</f>
        <v/>
      </c>
      <c r="K559" s="45"/>
      <c r="L559" s="45"/>
      <c r="M559" s="50" t="str">
        <f aca="false">IF(G559="","",IF(G559="Fechado ganho","Ganha",IF(G559="Fechado perdido","Perdida","Aberta")))</f>
        <v/>
      </c>
      <c r="N559" s="51" t="str">
        <f aca="false">IF(B559="","",IF(M559="Aberta",DataRef-B559,IF(L559="","",L559-B559)))</f>
        <v/>
      </c>
      <c r="O559" s="50" t="str">
        <f aca="false">IF(M559&lt;&gt;"Aberta","",IF(AND(K559&lt;&gt;"",K559&lt;DataRef),"Previsão vencida",IF(N559&gt;DiasParada,"Parada","")))</f>
        <v/>
      </c>
    </row>
    <row r="560" customFormat="false" ht="15" hidden="false" customHeight="false" outlineLevel="0" collapsed="false">
      <c r="A560" s="44"/>
      <c r="B560" s="45"/>
      <c r="C560" s="46"/>
      <c r="D560" s="46"/>
      <c r="E560" s="7" t="str">
        <f aca="false">IF(C560="","",IFERROR(INDEX(cl_Regiao,MATCH(C560,cl_Nome,0)),""))</f>
        <v/>
      </c>
      <c r="F560" s="46"/>
      <c r="G560" s="46"/>
      <c r="H560" s="47"/>
      <c r="I560" s="48" t="str">
        <f aca="false">IF(G560="","",IFERROR(INDEX(pr_Prob,MATCH(G560,pr_Etapa,0)),0))</f>
        <v/>
      </c>
      <c r="J560" s="49" t="str">
        <f aca="false">IF(H560="","",H560*I560)</f>
        <v/>
      </c>
      <c r="K560" s="45"/>
      <c r="L560" s="45"/>
      <c r="M560" s="50" t="str">
        <f aca="false">IF(G560="","",IF(G560="Fechado ganho","Ganha",IF(G560="Fechado perdido","Perdida","Aberta")))</f>
        <v/>
      </c>
      <c r="N560" s="51" t="str">
        <f aca="false">IF(B560="","",IF(M560="Aberta",DataRef-B560,IF(L560="","",L560-B560)))</f>
        <v/>
      </c>
      <c r="O560" s="50" t="str">
        <f aca="false">IF(M560&lt;&gt;"Aberta","",IF(AND(K560&lt;&gt;"",K560&lt;DataRef),"Previsão vencida",IF(N560&gt;DiasParada,"Parada","")))</f>
        <v/>
      </c>
    </row>
    <row r="561" customFormat="false" ht="15" hidden="false" customHeight="false" outlineLevel="0" collapsed="false">
      <c r="A561" s="44"/>
      <c r="B561" s="45"/>
      <c r="C561" s="46"/>
      <c r="D561" s="46"/>
      <c r="E561" s="7" t="str">
        <f aca="false">IF(C561="","",IFERROR(INDEX(cl_Regiao,MATCH(C561,cl_Nome,0)),""))</f>
        <v/>
      </c>
      <c r="F561" s="46"/>
      <c r="G561" s="46"/>
      <c r="H561" s="47"/>
      <c r="I561" s="48" t="str">
        <f aca="false">IF(G561="","",IFERROR(INDEX(pr_Prob,MATCH(G561,pr_Etapa,0)),0))</f>
        <v/>
      </c>
      <c r="J561" s="49" t="str">
        <f aca="false">IF(H561="","",H561*I561)</f>
        <v/>
      </c>
      <c r="K561" s="45"/>
      <c r="L561" s="45"/>
      <c r="M561" s="50" t="str">
        <f aca="false">IF(G561="","",IF(G561="Fechado ganho","Ganha",IF(G561="Fechado perdido","Perdida","Aberta")))</f>
        <v/>
      </c>
      <c r="N561" s="51" t="str">
        <f aca="false">IF(B561="","",IF(M561="Aberta",DataRef-B561,IF(L561="","",L561-B561)))</f>
        <v/>
      </c>
      <c r="O561" s="50" t="str">
        <f aca="false">IF(M561&lt;&gt;"Aberta","",IF(AND(K561&lt;&gt;"",K561&lt;DataRef),"Previsão vencida",IF(N561&gt;DiasParada,"Parada","")))</f>
        <v/>
      </c>
    </row>
    <row r="562" customFormat="false" ht="15" hidden="false" customHeight="false" outlineLevel="0" collapsed="false">
      <c r="A562" s="44"/>
      <c r="B562" s="45"/>
      <c r="C562" s="46"/>
      <c r="D562" s="46"/>
      <c r="E562" s="7" t="str">
        <f aca="false">IF(C562="","",IFERROR(INDEX(cl_Regiao,MATCH(C562,cl_Nome,0)),""))</f>
        <v/>
      </c>
      <c r="F562" s="46"/>
      <c r="G562" s="46"/>
      <c r="H562" s="47"/>
      <c r="I562" s="48" t="str">
        <f aca="false">IF(G562="","",IFERROR(INDEX(pr_Prob,MATCH(G562,pr_Etapa,0)),0))</f>
        <v/>
      </c>
      <c r="J562" s="49" t="str">
        <f aca="false">IF(H562="","",H562*I562)</f>
        <v/>
      </c>
      <c r="K562" s="45"/>
      <c r="L562" s="45"/>
      <c r="M562" s="50" t="str">
        <f aca="false">IF(G562="","",IF(G562="Fechado ganho","Ganha",IF(G562="Fechado perdido","Perdida","Aberta")))</f>
        <v/>
      </c>
      <c r="N562" s="51" t="str">
        <f aca="false">IF(B562="","",IF(M562="Aberta",DataRef-B562,IF(L562="","",L562-B562)))</f>
        <v/>
      </c>
      <c r="O562" s="50" t="str">
        <f aca="false">IF(M562&lt;&gt;"Aberta","",IF(AND(K562&lt;&gt;"",K562&lt;DataRef),"Previsão vencida",IF(N562&gt;DiasParada,"Parada","")))</f>
        <v/>
      </c>
    </row>
    <row r="563" customFormat="false" ht="15" hidden="false" customHeight="false" outlineLevel="0" collapsed="false">
      <c r="A563" s="44"/>
      <c r="B563" s="45"/>
      <c r="C563" s="46"/>
      <c r="D563" s="46"/>
      <c r="E563" s="7" t="str">
        <f aca="false">IF(C563="","",IFERROR(INDEX(cl_Regiao,MATCH(C563,cl_Nome,0)),""))</f>
        <v/>
      </c>
      <c r="F563" s="46"/>
      <c r="G563" s="46"/>
      <c r="H563" s="47"/>
      <c r="I563" s="48" t="str">
        <f aca="false">IF(G563="","",IFERROR(INDEX(pr_Prob,MATCH(G563,pr_Etapa,0)),0))</f>
        <v/>
      </c>
      <c r="J563" s="49" t="str">
        <f aca="false">IF(H563="","",H563*I563)</f>
        <v/>
      </c>
      <c r="K563" s="45"/>
      <c r="L563" s="45"/>
      <c r="M563" s="50" t="str">
        <f aca="false">IF(G563="","",IF(G563="Fechado ganho","Ganha",IF(G563="Fechado perdido","Perdida","Aberta")))</f>
        <v/>
      </c>
      <c r="N563" s="51" t="str">
        <f aca="false">IF(B563="","",IF(M563="Aberta",DataRef-B563,IF(L563="","",L563-B563)))</f>
        <v/>
      </c>
      <c r="O563" s="50" t="str">
        <f aca="false">IF(M563&lt;&gt;"Aberta","",IF(AND(K563&lt;&gt;"",K563&lt;DataRef),"Previsão vencida",IF(N563&gt;DiasParada,"Parada","")))</f>
        <v/>
      </c>
    </row>
    <row r="564" customFormat="false" ht="15" hidden="false" customHeight="false" outlineLevel="0" collapsed="false">
      <c r="A564" s="44"/>
      <c r="B564" s="45"/>
      <c r="C564" s="46"/>
      <c r="D564" s="46"/>
      <c r="E564" s="7" t="str">
        <f aca="false">IF(C564="","",IFERROR(INDEX(cl_Regiao,MATCH(C564,cl_Nome,0)),""))</f>
        <v/>
      </c>
      <c r="F564" s="46"/>
      <c r="G564" s="46"/>
      <c r="H564" s="47"/>
      <c r="I564" s="48" t="str">
        <f aca="false">IF(G564="","",IFERROR(INDEX(pr_Prob,MATCH(G564,pr_Etapa,0)),0))</f>
        <v/>
      </c>
      <c r="J564" s="49" t="str">
        <f aca="false">IF(H564="","",H564*I564)</f>
        <v/>
      </c>
      <c r="K564" s="45"/>
      <c r="L564" s="45"/>
      <c r="M564" s="50" t="str">
        <f aca="false">IF(G564="","",IF(G564="Fechado ganho","Ganha",IF(G564="Fechado perdido","Perdida","Aberta")))</f>
        <v/>
      </c>
      <c r="N564" s="51" t="str">
        <f aca="false">IF(B564="","",IF(M564="Aberta",DataRef-B564,IF(L564="","",L564-B564)))</f>
        <v/>
      </c>
      <c r="O564" s="50" t="str">
        <f aca="false">IF(M564&lt;&gt;"Aberta","",IF(AND(K564&lt;&gt;"",K564&lt;DataRef),"Previsão vencida",IF(N564&gt;DiasParada,"Parada","")))</f>
        <v/>
      </c>
    </row>
    <row r="565" customFormat="false" ht="15" hidden="false" customHeight="false" outlineLevel="0" collapsed="false">
      <c r="A565" s="44"/>
      <c r="B565" s="45"/>
      <c r="C565" s="46"/>
      <c r="D565" s="46"/>
      <c r="E565" s="7" t="str">
        <f aca="false">IF(C565="","",IFERROR(INDEX(cl_Regiao,MATCH(C565,cl_Nome,0)),""))</f>
        <v/>
      </c>
      <c r="F565" s="46"/>
      <c r="G565" s="46"/>
      <c r="H565" s="47"/>
      <c r="I565" s="48" t="str">
        <f aca="false">IF(G565="","",IFERROR(INDEX(pr_Prob,MATCH(G565,pr_Etapa,0)),0))</f>
        <v/>
      </c>
      <c r="J565" s="49" t="str">
        <f aca="false">IF(H565="","",H565*I565)</f>
        <v/>
      </c>
      <c r="K565" s="45"/>
      <c r="L565" s="45"/>
      <c r="M565" s="50" t="str">
        <f aca="false">IF(G565="","",IF(G565="Fechado ganho","Ganha",IF(G565="Fechado perdido","Perdida","Aberta")))</f>
        <v/>
      </c>
      <c r="N565" s="51" t="str">
        <f aca="false">IF(B565="","",IF(M565="Aberta",DataRef-B565,IF(L565="","",L565-B565)))</f>
        <v/>
      </c>
      <c r="O565" s="50" t="str">
        <f aca="false">IF(M565&lt;&gt;"Aberta","",IF(AND(K565&lt;&gt;"",K565&lt;DataRef),"Previsão vencida",IF(N565&gt;DiasParada,"Parada","")))</f>
        <v/>
      </c>
    </row>
    <row r="566" customFormat="false" ht="15" hidden="false" customHeight="false" outlineLevel="0" collapsed="false">
      <c r="A566" s="44"/>
      <c r="B566" s="45"/>
      <c r="C566" s="46"/>
      <c r="D566" s="46"/>
      <c r="E566" s="7" t="str">
        <f aca="false">IF(C566="","",IFERROR(INDEX(cl_Regiao,MATCH(C566,cl_Nome,0)),""))</f>
        <v/>
      </c>
      <c r="F566" s="46"/>
      <c r="G566" s="46"/>
      <c r="H566" s="47"/>
      <c r="I566" s="48" t="str">
        <f aca="false">IF(G566="","",IFERROR(INDEX(pr_Prob,MATCH(G566,pr_Etapa,0)),0))</f>
        <v/>
      </c>
      <c r="J566" s="49" t="str">
        <f aca="false">IF(H566="","",H566*I566)</f>
        <v/>
      </c>
      <c r="K566" s="45"/>
      <c r="L566" s="45"/>
      <c r="M566" s="50" t="str">
        <f aca="false">IF(G566="","",IF(G566="Fechado ganho","Ganha",IF(G566="Fechado perdido","Perdida","Aberta")))</f>
        <v/>
      </c>
      <c r="N566" s="51" t="str">
        <f aca="false">IF(B566="","",IF(M566="Aberta",DataRef-B566,IF(L566="","",L566-B566)))</f>
        <v/>
      </c>
      <c r="O566" s="50" t="str">
        <f aca="false">IF(M566&lt;&gt;"Aberta","",IF(AND(K566&lt;&gt;"",K566&lt;DataRef),"Previsão vencida",IF(N566&gt;DiasParada,"Parada","")))</f>
        <v/>
      </c>
    </row>
    <row r="567" customFormat="false" ht="15" hidden="false" customHeight="false" outlineLevel="0" collapsed="false">
      <c r="A567" s="44"/>
      <c r="B567" s="45"/>
      <c r="C567" s="46"/>
      <c r="D567" s="46"/>
      <c r="E567" s="7" t="str">
        <f aca="false">IF(C567="","",IFERROR(INDEX(cl_Regiao,MATCH(C567,cl_Nome,0)),""))</f>
        <v/>
      </c>
      <c r="F567" s="46"/>
      <c r="G567" s="46"/>
      <c r="H567" s="47"/>
      <c r="I567" s="48" t="str">
        <f aca="false">IF(G567="","",IFERROR(INDEX(pr_Prob,MATCH(G567,pr_Etapa,0)),0))</f>
        <v/>
      </c>
      <c r="J567" s="49" t="str">
        <f aca="false">IF(H567="","",H567*I567)</f>
        <v/>
      </c>
      <c r="K567" s="45"/>
      <c r="L567" s="45"/>
      <c r="M567" s="50" t="str">
        <f aca="false">IF(G567="","",IF(G567="Fechado ganho","Ganha",IF(G567="Fechado perdido","Perdida","Aberta")))</f>
        <v/>
      </c>
      <c r="N567" s="51" t="str">
        <f aca="false">IF(B567="","",IF(M567="Aberta",DataRef-B567,IF(L567="","",L567-B567)))</f>
        <v/>
      </c>
      <c r="O567" s="50" t="str">
        <f aca="false">IF(M567&lt;&gt;"Aberta","",IF(AND(K567&lt;&gt;"",K567&lt;DataRef),"Previsão vencida",IF(N567&gt;DiasParada,"Parada","")))</f>
        <v/>
      </c>
    </row>
    <row r="568" customFormat="false" ht="15" hidden="false" customHeight="false" outlineLevel="0" collapsed="false">
      <c r="A568" s="44"/>
      <c r="B568" s="45"/>
      <c r="C568" s="46"/>
      <c r="D568" s="46"/>
      <c r="E568" s="7" t="str">
        <f aca="false">IF(C568="","",IFERROR(INDEX(cl_Regiao,MATCH(C568,cl_Nome,0)),""))</f>
        <v/>
      </c>
      <c r="F568" s="46"/>
      <c r="G568" s="46"/>
      <c r="H568" s="47"/>
      <c r="I568" s="48" t="str">
        <f aca="false">IF(G568="","",IFERROR(INDEX(pr_Prob,MATCH(G568,pr_Etapa,0)),0))</f>
        <v/>
      </c>
      <c r="J568" s="49" t="str">
        <f aca="false">IF(H568="","",H568*I568)</f>
        <v/>
      </c>
      <c r="K568" s="45"/>
      <c r="L568" s="45"/>
      <c r="M568" s="50" t="str">
        <f aca="false">IF(G568="","",IF(G568="Fechado ganho","Ganha",IF(G568="Fechado perdido","Perdida","Aberta")))</f>
        <v/>
      </c>
      <c r="N568" s="51" t="str">
        <f aca="false">IF(B568="","",IF(M568="Aberta",DataRef-B568,IF(L568="","",L568-B568)))</f>
        <v/>
      </c>
      <c r="O568" s="50" t="str">
        <f aca="false">IF(M568&lt;&gt;"Aberta","",IF(AND(K568&lt;&gt;"",K568&lt;DataRef),"Previsão vencida",IF(N568&gt;DiasParada,"Parada","")))</f>
        <v/>
      </c>
    </row>
    <row r="569" customFormat="false" ht="15" hidden="false" customHeight="false" outlineLevel="0" collapsed="false">
      <c r="A569" s="44"/>
      <c r="B569" s="45"/>
      <c r="C569" s="46"/>
      <c r="D569" s="46"/>
      <c r="E569" s="7" t="str">
        <f aca="false">IF(C569="","",IFERROR(INDEX(cl_Regiao,MATCH(C569,cl_Nome,0)),""))</f>
        <v/>
      </c>
      <c r="F569" s="46"/>
      <c r="G569" s="46"/>
      <c r="H569" s="47"/>
      <c r="I569" s="48" t="str">
        <f aca="false">IF(G569="","",IFERROR(INDEX(pr_Prob,MATCH(G569,pr_Etapa,0)),0))</f>
        <v/>
      </c>
      <c r="J569" s="49" t="str">
        <f aca="false">IF(H569="","",H569*I569)</f>
        <v/>
      </c>
      <c r="K569" s="45"/>
      <c r="L569" s="45"/>
      <c r="M569" s="50" t="str">
        <f aca="false">IF(G569="","",IF(G569="Fechado ganho","Ganha",IF(G569="Fechado perdido","Perdida","Aberta")))</f>
        <v/>
      </c>
      <c r="N569" s="51" t="str">
        <f aca="false">IF(B569="","",IF(M569="Aberta",DataRef-B569,IF(L569="","",L569-B569)))</f>
        <v/>
      </c>
      <c r="O569" s="50" t="str">
        <f aca="false">IF(M569&lt;&gt;"Aberta","",IF(AND(K569&lt;&gt;"",K569&lt;DataRef),"Previsão vencida",IF(N569&gt;DiasParada,"Parada","")))</f>
        <v/>
      </c>
    </row>
    <row r="570" customFormat="false" ht="15" hidden="false" customHeight="false" outlineLevel="0" collapsed="false">
      <c r="A570" s="44"/>
      <c r="B570" s="45"/>
      <c r="C570" s="46"/>
      <c r="D570" s="46"/>
      <c r="E570" s="7" t="str">
        <f aca="false">IF(C570="","",IFERROR(INDEX(cl_Regiao,MATCH(C570,cl_Nome,0)),""))</f>
        <v/>
      </c>
      <c r="F570" s="46"/>
      <c r="G570" s="46"/>
      <c r="H570" s="47"/>
      <c r="I570" s="48" t="str">
        <f aca="false">IF(G570="","",IFERROR(INDEX(pr_Prob,MATCH(G570,pr_Etapa,0)),0))</f>
        <v/>
      </c>
      <c r="J570" s="49" t="str">
        <f aca="false">IF(H570="","",H570*I570)</f>
        <v/>
      </c>
      <c r="K570" s="45"/>
      <c r="L570" s="45"/>
      <c r="M570" s="50" t="str">
        <f aca="false">IF(G570="","",IF(G570="Fechado ganho","Ganha",IF(G570="Fechado perdido","Perdida","Aberta")))</f>
        <v/>
      </c>
      <c r="N570" s="51" t="str">
        <f aca="false">IF(B570="","",IF(M570="Aberta",DataRef-B570,IF(L570="","",L570-B570)))</f>
        <v/>
      </c>
      <c r="O570" s="50" t="str">
        <f aca="false">IF(M570&lt;&gt;"Aberta","",IF(AND(K570&lt;&gt;"",K570&lt;DataRef),"Previsão vencida",IF(N570&gt;DiasParada,"Parada","")))</f>
        <v/>
      </c>
    </row>
    <row r="571" customFormat="false" ht="15" hidden="false" customHeight="false" outlineLevel="0" collapsed="false">
      <c r="A571" s="44"/>
      <c r="B571" s="45"/>
      <c r="C571" s="46"/>
      <c r="D571" s="46"/>
      <c r="E571" s="7" t="str">
        <f aca="false">IF(C571="","",IFERROR(INDEX(cl_Regiao,MATCH(C571,cl_Nome,0)),""))</f>
        <v/>
      </c>
      <c r="F571" s="46"/>
      <c r="G571" s="46"/>
      <c r="H571" s="47"/>
      <c r="I571" s="48" t="str">
        <f aca="false">IF(G571="","",IFERROR(INDEX(pr_Prob,MATCH(G571,pr_Etapa,0)),0))</f>
        <v/>
      </c>
      <c r="J571" s="49" t="str">
        <f aca="false">IF(H571="","",H571*I571)</f>
        <v/>
      </c>
      <c r="K571" s="45"/>
      <c r="L571" s="45"/>
      <c r="M571" s="50" t="str">
        <f aca="false">IF(G571="","",IF(G571="Fechado ganho","Ganha",IF(G571="Fechado perdido","Perdida","Aberta")))</f>
        <v/>
      </c>
      <c r="N571" s="51" t="str">
        <f aca="false">IF(B571="","",IF(M571="Aberta",DataRef-B571,IF(L571="","",L571-B571)))</f>
        <v/>
      </c>
      <c r="O571" s="50" t="str">
        <f aca="false">IF(M571&lt;&gt;"Aberta","",IF(AND(K571&lt;&gt;"",K571&lt;DataRef),"Previsão vencida",IF(N571&gt;DiasParada,"Parada","")))</f>
        <v/>
      </c>
    </row>
    <row r="572" customFormat="false" ht="15" hidden="false" customHeight="false" outlineLevel="0" collapsed="false">
      <c r="A572" s="44"/>
      <c r="B572" s="45"/>
      <c r="C572" s="46"/>
      <c r="D572" s="46"/>
      <c r="E572" s="7" t="str">
        <f aca="false">IF(C572="","",IFERROR(INDEX(cl_Regiao,MATCH(C572,cl_Nome,0)),""))</f>
        <v/>
      </c>
      <c r="F572" s="46"/>
      <c r="G572" s="46"/>
      <c r="H572" s="47"/>
      <c r="I572" s="48" t="str">
        <f aca="false">IF(G572="","",IFERROR(INDEX(pr_Prob,MATCH(G572,pr_Etapa,0)),0))</f>
        <v/>
      </c>
      <c r="J572" s="49" t="str">
        <f aca="false">IF(H572="","",H572*I572)</f>
        <v/>
      </c>
      <c r="K572" s="45"/>
      <c r="L572" s="45"/>
      <c r="M572" s="50" t="str">
        <f aca="false">IF(G572="","",IF(G572="Fechado ganho","Ganha",IF(G572="Fechado perdido","Perdida","Aberta")))</f>
        <v/>
      </c>
      <c r="N572" s="51" t="str">
        <f aca="false">IF(B572="","",IF(M572="Aberta",DataRef-B572,IF(L572="","",L572-B572)))</f>
        <v/>
      </c>
      <c r="O572" s="50" t="str">
        <f aca="false">IF(M572&lt;&gt;"Aberta","",IF(AND(K572&lt;&gt;"",K572&lt;DataRef),"Previsão vencida",IF(N572&gt;DiasParada,"Parada","")))</f>
        <v/>
      </c>
    </row>
    <row r="573" customFormat="false" ht="15" hidden="false" customHeight="false" outlineLevel="0" collapsed="false">
      <c r="A573" s="44"/>
      <c r="B573" s="45"/>
      <c r="C573" s="46"/>
      <c r="D573" s="46"/>
      <c r="E573" s="7" t="str">
        <f aca="false">IF(C573="","",IFERROR(INDEX(cl_Regiao,MATCH(C573,cl_Nome,0)),""))</f>
        <v/>
      </c>
      <c r="F573" s="46"/>
      <c r="G573" s="46"/>
      <c r="H573" s="47"/>
      <c r="I573" s="48" t="str">
        <f aca="false">IF(G573="","",IFERROR(INDEX(pr_Prob,MATCH(G573,pr_Etapa,0)),0))</f>
        <v/>
      </c>
      <c r="J573" s="49" t="str">
        <f aca="false">IF(H573="","",H573*I573)</f>
        <v/>
      </c>
      <c r="K573" s="45"/>
      <c r="L573" s="45"/>
      <c r="M573" s="50" t="str">
        <f aca="false">IF(G573="","",IF(G573="Fechado ganho","Ganha",IF(G573="Fechado perdido","Perdida","Aberta")))</f>
        <v/>
      </c>
      <c r="N573" s="51" t="str">
        <f aca="false">IF(B573="","",IF(M573="Aberta",DataRef-B573,IF(L573="","",L573-B573)))</f>
        <v/>
      </c>
      <c r="O573" s="50" t="str">
        <f aca="false">IF(M573&lt;&gt;"Aberta","",IF(AND(K573&lt;&gt;"",K573&lt;DataRef),"Previsão vencida",IF(N573&gt;DiasParada,"Parada","")))</f>
        <v/>
      </c>
    </row>
    <row r="574" customFormat="false" ht="15" hidden="false" customHeight="false" outlineLevel="0" collapsed="false">
      <c r="A574" s="44"/>
      <c r="B574" s="45"/>
      <c r="C574" s="46"/>
      <c r="D574" s="46"/>
      <c r="E574" s="7" t="str">
        <f aca="false">IF(C574="","",IFERROR(INDEX(cl_Regiao,MATCH(C574,cl_Nome,0)),""))</f>
        <v/>
      </c>
      <c r="F574" s="46"/>
      <c r="G574" s="46"/>
      <c r="H574" s="47"/>
      <c r="I574" s="48" t="str">
        <f aca="false">IF(G574="","",IFERROR(INDEX(pr_Prob,MATCH(G574,pr_Etapa,0)),0))</f>
        <v/>
      </c>
      <c r="J574" s="49" t="str">
        <f aca="false">IF(H574="","",H574*I574)</f>
        <v/>
      </c>
      <c r="K574" s="45"/>
      <c r="L574" s="45"/>
      <c r="M574" s="50" t="str">
        <f aca="false">IF(G574="","",IF(G574="Fechado ganho","Ganha",IF(G574="Fechado perdido","Perdida","Aberta")))</f>
        <v/>
      </c>
      <c r="N574" s="51" t="str">
        <f aca="false">IF(B574="","",IF(M574="Aberta",DataRef-B574,IF(L574="","",L574-B574)))</f>
        <v/>
      </c>
      <c r="O574" s="50" t="str">
        <f aca="false">IF(M574&lt;&gt;"Aberta","",IF(AND(K574&lt;&gt;"",K574&lt;DataRef),"Previsão vencida",IF(N574&gt;DiasParada,"Parada","")))</f>
        <v/>
      </c>
    </row>
    <row r="575" customFormat="false" ht="15" hidden="false" customHeight="false" outlineLevel="0" collapsed="false">
      <c r="A575" s="44"/>
      <c r="B575" s="45"/>
      <c r="C575" s="46"/>
      <c r="D575" s="46"/>
      <c r="E575" s="7" t="str">
        <f aca="false">IF(C575="","",IFERROR(INDEX(cl_Regiao,MATCH(C575,cl_Nome,0)),""))</f>
        <v/>
      </c>
      <c r="F575" s="46"/>
      <c r="G575" s="46"/>
      <c r="H575" s="47"/>
      <c r="I575" s="48" t="str">
        <f aca="false">IF(G575="","",IFERROR(INDEX(pr_Prob,MATCH(G575,pr_Etapa,0)),0))</f>
        <v/>
      </c>
      <c r="J575" s="49" t="str">
        <f aca="false">IF(H575="","",H575*I575)</f>
        <v/>
      </c>
      <c r="K575" s="45"/>
      <c r="L575" s="45"/>
      <c r="M575" s="50" t="str">
        <f aca="false">IF(G575="","",IF(G575="Fechado ganho","Ganha",IF(G575="Fechado perdido","Perdida","Aberta")))</f>
        <v/>
      </c>
      <c r="N575" s="51" t="str">
        <f aca="false">IF(B575="","",IF(M575="Aberta",DataRef-B575,IF(L575="","",L575-B575)))</f>
        <v/>
      </c>
      <c r="O575" s="50" t="str">
        <f aca="false">IF(M575&lt;&gt;"Aberta","",IF(AND(K575&lt;&gt;"",K575&lt;DataRef),"Previsão vencida",IF(N575&gt;DiasParada,"Parada","")))</f>
        <v/>
      </c>
    </row>
    <row r="576" customFormat="false" ht="15" hidden="false" customHeight="false" outlineLevel="0" collapsed="false">
      <c r="A576" s="44"/>
      <c r="B576" s="45"/>
      <c r="C576" s="46"/>
      <c r="D576" s="46"/>
      <c r="E576" s="7" t="str">
        <f aca="false">IF(C576="","",IFERROR(INDEX(cl_Regiao,MATCH(C576,cl_Nome,0)),""))</f>
        <v/>
      </c>
      <c r="F576" s="46"/>
      <c r="G576" s="46"/>
      <c r="H576" s="47"/>
      <c r="I576" s="48" t="str">
        <f aca="false">IF(G576="","",IFERROR(INDEX(pr_Prob,MATCH(G576,pr_Etapa,0)),0))</f>
        <v/>
      </c>
      <c r="J576" s="49" t="str">
        <f aca="false">IF(H576="","",H576*I576)</f>
        <v/>
      </c>
      <c r="K576" s="45"/>
      <c r="L576" s="45"/>
      <c r="M576" s="50" t="str">
        <f aca="false">IF(G576="","",IF(G576="Fechado ganho","Ganha",IF(G576="Fechado perdido","Perdida","Aberta")))</f>
        <v/>
      </c>
      <c r="N576" s="51" t="str">
        <f aca="false">IF(B576="","",IF(M576="Aberta",DataRef-B576,IF(L576="","",L576-B576)))</f>
        <v/>
      </c>
      <c r="O576" s="50" t="str">
        <f aca="false">IF(M576&lt;&gt;"Aberta","",IF(AND(K576&lt;&gt;"",K576&lt;DataRef),"Previsão vencida",IF(N576&gt;DiasParada,"Parada","")))</f>
        <v/>
      </c>
    </row>
    <row r="577" customFormat="false" ht="15" hidden="false" customHeight="false" outlineLevel="0" collapsed="false">
      <c r="A577" s="44"/>
      <c r="B577" s="45"/>
      <c r="C577" s="46"/>
      <c r="D577" s="46"/>
      <c r="E577" s="7" t="str">
        <f aca="false">IF(C577="","",IFERROR(INDEX(cl_Regiao,MATCH(C577,cl_Nome,0)),""))</f>
        <v/>
      </c>
      <c r="F577" s="46"/>
      <c r="G577" s="46"/>
      <c r="H577" s="47"/>
      <c r="I577" s="48" t="str">
        <f aca="false">IF(G577="","",IFERROR(INDEX(pr_Prob,MATCH(G577,pr_Etapa,0)),0))</f>
        <v/>
      </c>
      <c r="J577" s="49" t="str">
        <f aca="false">IF(H577="","",H577*I577)</f>
        <v/>
      </c>
      <c r="K577" s="45"/>
      <c r="L577" s="45"/>
      <c r="M577" s="50" t="str">
        <f aca="false">IF(G577="","",IF(G577="Fechado ganho","Ganha",IF(G577="Fechado perdido","Perdida","Aberta")))</f>
        <v/>
      </c>
      <c r="N577" s="51" t="str">
        <f aca="false">IF(B577="","",IF(M577="Aberta",DataRef-B577,IF(L577="","",L577-B577)))</f>
        <v/>
      </c>
      <c r="O577" s="50" t="str">
        <f aca="false">IF(M577&lt;&gt;"Aberta","",IF(AND(K577&lt;&gt;"",K577&lt;DataRef),"Previsão vencida",IF(N577&gt;DiasParada,"Parada","")))</f>
        <v/>
      </c>
    </row>
    <row r="578" customFormat="false" ht="15" hidden="false" customHeight="false" outlineLevel="0" collapsed="false">
      <c r="A578" s="44"/>
      <c r="B578" s="45"/>
      <c r="C578" s="46"/>
      <c r="D578" s="46"/>
      <c r="E578" s="7" t="str">
        <f aca="false">IF(C578="","",IFERROR(INDEX(cl_Regiao,MATCH(C578,cl_Nome,0)),""))</f>
        <v/>
      </c>
      <c r="F578" s="46"/>
      <c r="G578" s="46"/>
      <c r="H578" s="47"/>
      <c r="I578" s="48" t="str">
        <f aca="false">IF(G578="","",IFERROR(INDEX(pr_Prob,MATCH(G578,pr_Etapa,0)),0))</f>
        <v/>
      </c>
      <c r="J578" s="49" t="str">
        <f aca="false">IF(H578="","",H578*I578)</f>
        <v/>
      </c>
      <c r="K578" s="45"/>
      <c r="L578" s="45"/>
      <c r="M578" s="50" t="str">
        <f aca="false">IF(G578="","",IF(G578="Fechado ganho","Ganha",IF(G578="Fechado perdido","Perdida","Aberta")))</f>
        <v/>
      </c>
      <c r="N578" s="51" t="str">
        <f aca="false">IF(B578="","",IF(M578="Aberta",DataRef-B578,IF(L578="","",L578-B578)))</f>
        <v/>
      </c>
      <c r="O578" s="50" t="str">
        <f aca="false">IF(M578&lt;&gt;"Aberta","",IF(AND(K578&lt;&gt;"",K578&lt;DataRef),"Previsão vencida",IF(N578&gt;DiasParada,"Parada","")))</f>
        <v/>
      </c>
    </row>
    <row r="579" customFormat="false" ht="15" hidden="false" customHeight="false" outlineLevel="0" collapsed="false">
      <c r="A579" s="44"/>
      <c r="B579" s="45"/>
      <c r="C579" s="46"/>
      <c r="D579" s="46"/>
      <c r="E579" s="7" t="str">
        <f aca="false">IF(C579="","",IFERROR(INDEX(cl_Regiao,MATCH(C579,cl_Nome,0)),""))</f>
        <v/>
      </c>
      <c r="F579" s="46"/>
      <c r="G579" s="46"/>
      <c r="H579" s="47"/>
      <c r="I579" s="48" t="str">
        <f aca="false">IF(G579="","",IFERROR(INDEX(pr_Prob,MATCH(G579,pr_Etapa,0)),0))</f>
        <v/>
      </c>
      <c r="J579" s="49" t="str">
        <f aca="false">IF(H579="","",H579*I579)</f>
        <v/>
      </c>
      <c r="K579" s="45"/>
      <c r="L579" s="45"/>
      <c r="M579" s="50" t="str">
        <f aca="false">IF(G579="","",IF(G579="Fechado ganho","Ganha",IF(G579="Fechado perdido","Perdida","Aberta")))</f>
        <v/>
      </c>
      <c r="N579" s="51" t="str">
        <f aca="false">IF(B579="","",IF(M579="Aberta",DataRef-B579,IF(L579="","",L579-B579)))</f>
        <v/>
      </c>
      <c r="O579" s="50" t="str">
        <f aca="false">IF(M579&lt;&gt;"Aberta","",IF(AND(K579&lt;&gt;"",K579&lt;DataRef),"Previsão vencida",IF(N579&gt;DiasParada,"Parada","")))</f>
        <v/>
      </c>
    </row>
    <row r="580" customFormat="false" ht="15" hidden="false" customHeight="false" outlineLevel="0" collapsed="false">
      <c r="A580" s="44"/>
      <c r="B580" s="45"/>
      <c r="C580" s="46"/>
      <c r="D580" s="46"/>
      <c r="E580" s="7" t="str">
        <f aca="false">IF(C580="","",IFERROR(INDEX(cl_Regiao,MATCH(C580,cl_Nome,0)),""))</f>
        <v/>
      </c>
      <c r="F580" s="46"/>
      <c r="G580" s="46"/>
      <c r="H580" s="47"/>
      <c r="I580" s="48" t="str">
        <f aca="false">IF(G580="","",IFERROR(INDEX(pr_Prob,MATCH(G580,pr_Etapa,0)),0))</f>
        <v/>
      </c>
      <c r="J580" s="49" t="str">
        <f aca="false">IF(H580="","",H580*I580)</f>
        <v/>
      </c>
      <c r="K580" s="45"/>
      <c r="L580" s="45"/>
      <c r="M580" s="50" t="str">
        <f aca="false">IF(G580="","",IF(G580="Fechado ganho","Ganha",IF(G580="Fechado perdido","Perdida","Aberta")))</f>
        <v/>
      </c>
      <c r="N580" s="51" t="str">
        <f aca="false">IF(B580="","",IF(M580="Aberta",DataRef-B580,IF(L580="","",L580-B580)))</f>
        <v/>
      </c>
      <c r="O580" s="50" t="str">
        <f aca="false">IF(M580&lt;&gt;"Aberta","",IF(AND(K580&lt;&gt;"",K580&lt;DataRef),"Previsão vencida",IF(N580&gt;DiasParada,"Parada","")))</f>
        <v/>
      </c>
    </row>
    <row r="581" customFormat="false" ht="15" hidden="false" customHeight="false" outlineLevel="0" collapsed="false">
      <c r="A581" s="44"/>
      <c r="B581" s="45"/>
      <c r="C581" s="46"/>
      <c r="D581" s="46"/>
      <c r="E581" s="7" t="str">
        <f aca="false">IF(C581="","",IFERROR(INDEX(cl_Regiao,MATCH(C581,cl_Nome,0)),""))</f>
        <v/>
      </c>
      <c r="F581" s="46"/>
      <c r="G581" s="46"/>
      <c r="H581" s="47"/>
      <c r="I581" s="48" t="str">
        <f aca="false">IF(G581="","",IFERROR(INDEX(pr_Prob,MATCH(G581,pr_Etapa,0)),0))</f>
        <v/>
      </c>
      <c r="J581" s="49" t="str">
        <f aca="false">IF(H581="","",H581*I581)</f>
        <v/>
      </c>
      <c r="K581" s="45"/>
      <c r="L581" s="45"/>
      <c r="M581" s="50" t="str">
        <f aca="false">IF(G581="","",IF(G581="Fechado ganho","Ganha",IF(G581="Fechado perdido","Perdida","Aberta")))</f>
        <v/>
      </c>
      <c r="N581" s="51" t="str">
        <f aca="false">IF(B581="","",IF(M581="Aberta",DataRef-B581,IF(L581="","",L581-B581)))</f>
        <v/>
      </c>
      <c r="O581" s="50" t="str">
        <f aca="false">IF(M581&lt;&gt;"Aberta","",IF(AND(K581&lt;&gt;"",K581&lt;DataRef),"Previsão vencida",IF(N581&gt;DiasParada,"Parada","")))</f>
        <v/>
      </c>
    </row>
    <row r="582" customFormat="false" ht="15" hidden="false" customHeight="false" outlineLevel="0" collapsed="false">
      <c r="A582" s="44"/>
      <c r="B582" s="45"/>
      <c r="C582" s="46"/>
      <c r="D582" s="46"/>
      <c r="E582" s="7" t="str">
        <f aca="false">IF(C582="","",IFERROR(INDEX(cl_Regiao,MATCH(C582,cl_Nome,0)),""))</f>
        <v/>
      </c>
      <c r="F582" s="46"/>
      <c r="G582" s="46"/>
      <c r="H582" s="47"/>
      <c r="I582" s="48" t="str">
        <f aca="false">IF(G582="","",IFERROR(INDEX(pr_Prob,MATCH(G582,pr_Etapa,0)),0))</f>
        <v/>
      </c>
      <c r="J582" s="49" t="str">
        <f aca="false">IF(H582="","",H582*I582)</f>
        <v/>
      </c>
      <c r="K582" s="45"/>
      <c r="L582" s="45"/>
      <c r="M582" s="50" t="str">
        <f aca="false">IF(G582="","",IF(G582="Fechado ganho","Ganha",IF(G582="Fechado perdido","Perdida","Aberta")))</f>
        <v/>
      </c>
      <c r="N582" s="51" t="str">
        <f aca="false">IF(B582="","",IF(M582="Aberta",DataRef-B582,IF(L582="","",L582-B582)))</f>
        <v/>
      </c>
      <c r="O582" s="50" t="str">
        <f aca="false">IF(M582&lt;&gt;"Aberta","",IF(AND(K582&lt;&gt;"",K582&lt;DataRef),"Previsão vencida",IF(N582&gt;DiasParada,"Parada","")))</f>
        <v/>
      </c>
    </row>
    <row r="583" customFormat="false" ht="15" hidden="false" customHeight="false" outlineLevel="0" collapsed="false">
      <c r="A583" s="44"/>
      <c r="B583" s="45"/>
      <c r="C583" s="46"/>
      <c r="D583" s="46"/>
      <c r="E583" s="7" t="str">
        <f aca="false">IF(C583="","",IFERROR(INDEX(cl_Regiao,MATCH(C583,cl_Nome,0)),""))</f>
        <v/>
      </c>
      <c r="F583" s="46"/>
      <c r="G583" s="46"/>
      <c r="H583" s="47"/>
      <c r="I583" s="48" t="str">
        <f aca="false">IF(G583="","",IFERROR(INDEX(pr_Prob,MATCH(G583,pr_Etapa,0)),0))</f>
        <v/>
      </c>
      <c r="J583" s="49" t="str">
        <f aca="false">IF(H583="","",H583*I583)</f>
        <v/>
      </c>
      <c r="K583" s="45"/>
      <c r="L583" s="45"/>
      <c r="M583" s="50" t="str">
        <f aca="false">IF(G583="","",IF(G583="Fechado ganho","Ganha",IF(G583="Fechado perdido","Perdida","Aberta")))</f>
        <v/>
      </c>
      <c r="N583" s="51" t="str">
        <f aca="false">IF(B583="","",IF(M583="Aberta",DataRef-B583,IF(L583="","",L583-B583)))</f>
        <v/>
      </c>
      <c r="O583" s="50" t="str">
        <f aca="false">IF(M583&lt;&gt;"Aberta","",IF(AND(K583&lt;&gt;"",K583&lt;DataRef),"Previsão vencida",IF(N583&gt;DiasParada,"Parada","")))</f>
        <v/>
      </c>
    </row>
    <row r="584" customFormat="false" ht="15" hidden="false" customHeight="false" outlineLevel="0" collapsed="false">
      <c r="A584" s="44"/>
      <c r="B584" s="45"/>
      <c r="C584" s="46"/>
      <c r="D584" s="46"/>
      <c r="E584" s="7" t="str">
        <f aca="false">IF(C584="","",IFERROR(INDEX(cl_Regiao,MATCH(C584,cl_Nome,0)),""))</f>
        <v/>
      </c>
      <c r="F584" s="46"/>
      <c r="G584" s="46"/>
      <c r="H584" s="47"/>
      <c r="I584" s="48" t="str">
        <f aca="false">IF(G584="","",IFERROR(INDEX(pr_Prob,MATCH(G584,pr_Etapa,0)),0))</f>
        <v/>
      </c>
      <c r="J584" s="49" t="str">
        <f aca="false">IF(H584="","",H584*I584)</f>
        <v/>
      </c>
      <c r="K584" s="45"/>
      <c r="L584" s="45"/>
      <c r="M584" s="50" t="str">
        <f aca="false">IF(G584="","",IF(G584="Fechado ganho","Ganha",IF(G584="Fechado perdido","Perdida","Aberta")))</f>
        <v/>
      </c>
      <c r="N584" s="51" t="str">
        <f aca="false">IF(B584="","",IF(M584="Aberta",DataRef-B584,IF(L584="","",L584-B584)))</f>
        <v/>
      </c>
      <c r="O584" s="50" t="str">
        <f aca="false">IF(M584&lt;&gt;"Aberta","",IF(AND(K584&lt;&gt;"",K584&lt;DataRef),"Previsão vencida",IF(N584&gt;DiasParada,"Parada","")))</f>
        <v/>
      </c>
    </row>
    <row r="585" customFormat="false" ht="15" hidden="false" customHeight="false" outlineLevel="0" collapsed="false">
      <c r="A585" s="44"/>
      <c r="B585" s="45"/>
      <c r="C585" s="46"/>
      <c r="D585" s="46"/>
      <c r="E585" s="7" t="str">
        <f aca="false">IF(C585="","",IFERROR(INDEX(cl_Regiao,MATCH(C585,cl_Nome,0)),""))</f>
        <v/>
      </c>
      <c r="F585" s="46"/>
      <c r="G585" s="46"/>
      <c r="H585" s="47"/>
      <c r="I585" s="48" t="str">
        <f aca="false">IF(G585="","",IFERROR(INDEX(pr_Prob,MATCH(G585,pr_Etapa,0)),0))</f>
        <v/>
      </c>
      <c r="J585" s="49" t="str">
        <f aca="false">IF(H585="","",H585*I585)</f>
        <v/>
      </c>
      <c r="K585" s="45"/>
      <c r="L585" s="45"/>
      <c r="M585" s="50" t="str">
        <f aca="false">IF(G585="","",IF(G585="Fechado ganho","Ganha",IF(G585="Fechado perdido","Perdida","Aberta")))</f>
        <v/>
      </c>
      <c r="N585" s="51" t="str">
        <f aca="false">IF(B585="","",IF(M585="Aberta",DataRef-B585,IF(L585="","",L585-B585)))</f>
        <v/>
      </c>
      <c r="O585" s="50" t="str">
        <f aca="false">IF(M585&lt;&gt;"Aberta","",IF(AND(K585&lt;&gt;"",K585&lt;DataRef),"Previsão vencida",IF(N585&gt;DiasParada,"Parada","")))</f>
        <v/>
      </c>
    </row>
    <row r="586" customFormat="false" ht="15" hidden="false" customHeight="false" outlineLevel="0" collapsed="false">
      <c r="A586" s="44"/>
      <c r="B586" s="45"/>
      <c r="C586" s="46"/>
      <c r="D586" s="46"/>
      <c r="E586" s="7" t="str">
        <f aca="false">IF(C586="","",IFERROR(INDEX(cl_Regiao,MATCH(C586,cl_Nome,0)),""))</f>
        <v/>
      </c>
      <c r="F586" s="46"/>
      <c r="G586" s="46"/>
      <c r="H586" s="47"/>
      <c r="I586" s="48" t="str">
        <f aca="false">IF(G586="","",IFERROR(INDEX(pr_Prob,MATCH(G586,pr_Etapa,0)),0))</f>
        <v/>
      </c>
      <c r="J586" s="49" t="str">
        <f aca="false">IF(H586="","",H586*I586)</f>
        <v/>
      </c>
      <c r="K586" s="45"/>
      <c r="L586" s="45"/>
      <c r="M586" s="50" t="str">
        <f aca="false">IF(G586="","",IF(G586="Fechado ganho","Ganha",IF(G586="Fechado perdido","Perdida","Aberta")))</f>
        <v/>
      </c>
      <c r="N586" s="51" t="str">
        <f aca="false">IF(B586="","",IF(M586="Aberta",DataRef-B586,IF(L586="","",L586-B586)))</f>
        <v/>
      </c>
      <c r="O586" s="50" t="str">
        <f aca="false">IF(M586&lt;&gt;"Aberta","",IF(AND(K586&lt;&gt;"",K586&lt;DataRef),"Previsão vencida",IF(N586&gt;DiasParada,"Parada","")))</f>
        <v/>
      </c>
    </row>
    <row r="587" customFormat="false" ht="15" hidden="false" customHeight="false" outlineLevel="0" collapsed="false">
      <c r="A587" s="44"/>
      <c r="B587" s="45"/>
      <c r="C587" s="46"/>
      <c r="D587" s="46"/>
      <c r="E587" s="7" t="str">
        <f aca="false">IF(C587="","",IFERROR(INDEX(cl_Regiao,MATCH(C587,cl_Nome,0)),""))</f>
        <v/>
      </c>
      <c r="F587" s="46"/>
      <c r="G587" s="46"/>
      <c r="H587" s="47"/>
      <c r="I587" s="48" t="str">
        <f aca="false">IF(G587="","",IFERROR(INDEX(pr_Prob,MATCH(G587,pr_Etapa,0)),0))</f>
        <v/>
      </c>
      <c r="J587" s="49" t="str">
        <f aca="false">IF(H587="","",H587*I587)</f>
        <v/>
      </c>
      <c r="K587" s="45"/>
      <c r="L587" s="45"/>
      <c r="M587" s="50" t="str">
        <f aca="false">IF(G587="","",IF(G587="Fechado ganho","Ganha",IF(G587="Fechado perdido","Perdida","Aberta")))</f>
        <v/>
      </c>
      <c r="N587" s="51" t="str">
        <f aca="false">IF(B587="","",IF(M587="Aberta",DataRef-B587,IF(L587="","",L587-B587)))</f>
        <v/>
      </c>
      <c r="O587" s="50" t="str">
        <f aca="false">IF(M587&lt;&gt;"Aberta","",IF(AND(K587&lt;&gt;"",K587&lt;DataRef),"Previsão vencida",IF(N587&gt;DiasParada,"Parada","")))</f>
        <v/>
      </c>
    </row>
    <row r="588" customFormat="false" ht="15" hidden="false" customHeight="false" outlineLevel="0" collapsed="false">
      <c r="A588" s="44"/>
      <c r="B588" s="45"/>
      <c r="C588" s="46"/>
      <c r="D588" s="46"/>
      <c r="E588" s="7" t="str">
        <f aca="false">IF(C588="","",IFERROR(INDEX(cl_Regiao,MATCH(C588,cl_Nome,0)),""))</f>
        <v/>
      </c>
      <c r="F588" s="46"/>
      <c r="G588" s="46"/>
      <c r="H588" s="47"/>
      <c r="I588" s="48" t="str">
        <f aca="false">IF(G588="","",IFERROR(INDEX(pr_Prob,MATCH(G588,pr_Etapa,0)),0))</f>
        <v/>
      </c>
      <c r="J588" s="49" t="str">
        <f aca="false">IF(H588="","",H588*I588)</f>
        <v/>
      </c>
      <c r="K588" s="45"/>
      <c r="L588" s="45"/>
      <c r="M588" s="50" t="str">
        <f aca="false">IF(G588="","",IF(G588="Fechado ganho","Ganha",IF(G588="Fechado perdido","Perdida","Aberta")))</f>
        <v/>
      </c>
      <c r="N588" s="51" t="str">
        <f aca="false">IF(B588="","",IF(M588="Aberta",DataRef-B588,IF(L588="","",L588-B588)))</f>
        <v/>
      </c>
      <c r="O588" s="50" t="str">
        <f aca="false">IF(M588&lt;&gt;"Aberta","",IF(AND(K588&lt;&gt;"",K588&lt;DataRef),"Previsão vencida",IF(N588&gt;DiasParada,"Parada","")))</f>
        <v/>
      </c>
    </row>
    <row r="589" customFormat="false" ht="15" hidden="false" customHeight="false" outlineLevel="0" collapsed="false">
      <c r="A589" s="44"/>
      <c r="B589" s="45"/>
      <c r="C589" s="46"/>
      <c r="D589" s="46"/>
      <c r="E589" s="7" t="str">
        <f aca="false">IF(C589="","",IFERROR(INDEX(cl_Regiao,MATCH(C589,cl_Nome,0)),""))</f>
        <v/>
      </c>
      <c r="F589" s="46"/>
      <c r="G589" s="46"/>
      <c r="H589" s="47"/>
      <c r="I589" s="48" t="str">
        <f aca="false">IF(G589="","",IFERROR(INDEX(pr_Prob,MATCH(G589,pr_Etapa,0)),0))</f>
        <v/>
      </c>
      <c r="J589" s="49" t="str">
        <f aca="false">IF(H589="","",H589*I589)</f>
        <v/>
      </c>
      <c r="K589" s="45"/>
      <c r="L589" s="45"/>
      <c r="M589" s="50" t="str">
        <f aca="false">IF(G589="","",IF(G589="Fechado ganho","Ganha",IF(G589="Fechado perdido","Perdida","Aberta")))</f>
        <v/>
      </c>
      <c r="N589" s="51" t="str">
        <f aca="false">IF(B589="","",IF(M589="Aberta",DataRef-B589,IF(L589="","",L589-B589)))</f>
        <v/>
      </c>
      <c r="O589" s="50" t="str">
        <f aca="false">IF(M589&lt;&gt;"Aberta","",IF(AND(K589&lt;&gt;"",K589&lt;DataRef),"Previsão vencida",IF(N589&gt;DiasParada,"Parada","")))</f>
        <v/>
      </c>
    </row>
    <row r="590" customFormat="false" ht="15" hidden="false" customHeight="false" outlineLevel="0" collapsed="false">
      <c r="A590" s="44"/>
      <c r="B590" s="45"/>
      <c r="C590" s="46"/>
      <c r="D590" s="46"/>
      <c r="E590" s="7" t="str">
        <f aca="false">IF(C590="","",IFERROR(INDEX(cl_Regiao,MATCH(C590,cl_Nome,0)),""))</f>
        <v/>
      </c>
      <c r="F590" s="46"/>
      <c r="G590" s="46"/>
      <c r="H590" s="47"/>
      <c r="I590" s="48" t="str">
        <f aca="false">IF(G590="","",IFERROR(INDEX(pr_Prob,MATCH(G590,pr_Etapa,0)),0))</f>
        <v/>
      </c>
      <c r="J590" s="49" t="str">
        <f aca="false">IF(H590="","",H590*I590)</f>
        <v/>
      </c>
      <c r="K590" s="45"/>
      <c r="L590" s="45"/>
      <c r="M590" s="50" t="str">
        <f aca="false">IF(G590="","",IF(G590="Fechado ganho","Ganha",IF(G590="Fechado perdido","Perdida","Aberta")))</f>
        <v/>
      </c>
      <c r="N590" s="51" t="str">
        <f aca="false">IF(B590="","",IF(M590="Aberta",DataRef-B590,IF(L590="","",L590-B590)))</f>
        <v/>
      </c>
      <c r="O590" s="50" t="str">
        <f aca="false">IF(M590&lt;&gt;"Aberta","",IF(AND(K590&lt;&gt;"",K590&lt;DataRef),"Previsão vencida",IF(N590&gt;DiasParada,"Parada","")))</f>
        <v/>
      </c>
    </row>
    <row r="591" customFormat="false" ht="15" hidden="false" customHeight="false" outlineLevel="0" collapsed="false">
      <c r="A591" s="44"/>
      <c r="B591" s="45"/>
      <c r="C591" s="46"/>
      <c r="D591" s="46"/>
      <c r="E591" s="7" t="str">
        <f aca="false">IF(C591="","",IFERROR(INDEX(cl_Regiao,MATCH(C591,cl_Nome,0)),""))</f>
        <v/>
      </c>
      <c r="F591" s="46"/>
      <c r="G591" s="46"/>
      <c r="H591" s="47"/>
      <c r="I591" s="48" t="str">
        <f aca="false">IF(G591="","",IFERROR(INDEX(pr_Prob,MATCH(G591,pr_Etapa,0)),0))</f>
        <v/>
      </c>
      <c r="J591" s="49" t="str">
        <f aca="false">IF(H591="","",H591*I591)</f>
        <v/>
      </c>
      <c r="K591" s="45"/>
      <c r="L591" s="45"/>
      <c r="M591" s="50" t="str">
        <f aca="false">IF(G591="","",IF(G591="Fechado ganho","Ganha",IF(G591="Fechado perdido","Perdida","Aberta")))</f>
        <v/>
      </c>
      <c r="N591" s="51" t="str">
        <f aca="false">IF(B591="","",IF(M591="Aberta",DataRef-B591,IF(L591="","",L591-B591)))</f>
        <v/>
      </c>
      <c r="O591" s="50" t="str">
        <f aca="false">IF(M591&lt;&gt;"Aberta","",IF(AND(K591&lt;&gt;"",K591&lt;DataRef),"Previsão vencida",IF(N591&gt;DiasParada,"Parada","")))</f>
        <v/>
      </c>
    </row>
    <row r="592" customFormat="false" ht="15" hidden="false" customHeight="false" outlineLevel="0" collapsed="false">
      <c r="A592" s="44"/>
      <c r="B592" s="45"/>
      <c r="C592" s="46"/>
      <c r="D592" s="46"/>
      <c r="E592" s="7" t="str">
        <f aca="false">IF(C592="","",IFERROR(INDEX(cl_Regiao,MATCH(C592,cl_Nome,0)),""))</f>
        <v/>
      </c>
      <c r="F592" s="46"/>
      <c r="G592" s="46"/>
      <c r="H592" s="47"/>
      <c r="I592" s="48" t="str">
        <f aca="false">IF(G592="","",IFERROR(INDEX(pr_Prob,MATCH(G592,pr_Etapa,0)),0))</f>
        <v/>
      </c>
      <c r="J592" s="49" t="str">
        <f aca="false">IF(H592="","",H592*I592)</f>
        <v/>
      </c>
      <c r="K592" s="45"/>
      <c r="L592" s="45"/>
      <c r="M592" s="50" t="str">
        <f aca="false">IF(G592="","",IF(G592="Fechado ganho","Ganha",IF(G592="Fechado perdido","Perdida","Aberta")))</f>
        <v/>
      </c>
      <c r="N592" s="51" t="str">
        <f aca="false">IF(B592="","",IF(M592="Aberta",DataRef-B592,IF(L592="","",L592-B592)))</f>
        <v/>
      </c>
      <c r="O592" s="50" t="str">
        <f aca="false">IF(M592&lt;&gt;"Aberta","",IF(AND(K592&lt;&gt;"",K592&lt;DataRef),"Previsão vencida",IF(N592&gt;DiasParada,"Parada","")))</f>
        <v/>
      </c>
    </row>
    <row r="593" customFormat="false" ht="15" hidden="false" customHeight="false" outlineLevel="0" collapsed="false">
      <c r="A593" s="44"/>
      <c r="B593" s="45"/>
      <c r="C593" s="46"/>
      <c r="D593" s="46"/>
      <c r="E593" s="7" t="str">
        <f aca="false">IF(C593="","",IFERROR(INDEX(cl_Regiao,MATCH(C593,cl_Nome,0)),""))</f>
        <v/>
      </c>
      <c r="F593" s="46"/>
      <c r="G593" s="46"/>
      <c r="H593" s="47"/>
      <c r="I593" s="48" t="str">
        <f aca="false">IF(G593="","",IFERROR(INDEX(pr_Prob,MATCH(G593,pr_Etapa,0)),0))</f>
        <v/>
      </c>
      <c r="J593" s="49" t="str">
        <f aca="false">IF(H593="","",H593*I593)</f>
        <v/>
      </c>
      <c r="K593" s="45"/>
      <c r="L593" s="45"/>
      <c r="M593" s="50" t="str">
        <f aca="false">IF(G593="","",IF(G593="Fechado ganho","Ganha",IF(G593="Fechado perdido","Perdida","Aberta")))</f>
        <v/>
      </c>
      <c r="N593" s="51" t="str">
        <f aca="false">IF(B593="","",IF(M593="Aberta",DataRef-B593,IF(L593="","",L593-B593)))</f>
        <v/>
      </c>
      <c r="O593" s="50" t="str">
        <f aca="false">IF(M593&lt;&gt;"Aberta","",IF(AND(K593&lt;&gt;"",K593&lt;DataRef),"Previsão vencida",IF(N593&gt;DiasParada,"Parada","")))</f>
        <v/>
      </c>
    </row>
    <row r="594" customFormat="false" ht="15" hidden="false" customHeight="false" outlineLevel="0" collapsed="false">
      <c r="A594" s="44"/>
      <c r="B594" s="45"/>
      <c r="C594" s="46"/>
      <c r="D594" s="46"/>
      <c r="E594" s="7" t="str">
        <f aca="false">IF(C594="","",IFERROR(INDEX(cl_Regiao,MATCH(C594,cl_Nome,0)),""))</f>
        <v/>
      </c>
      <c r="F594" s="46"/>
      <c r="G594" s="46"/>
      <c r="H594" s="47"/>
      <c r="I594" s="48" t="str">
        <f aca="false">IF(G594="","",IFERROR(INDEX(pr_Prob,MATCH(G594,pr_Etapa,0)),0))</f>
        <v/>
      </c>
      <c r="J594" s="49" t="str">
        <f aca="false">IF(H594="","",H594*I594)</f>
        <v/>
      </c>
      <c r="K594" s="45"/>
      <c r="L594" s="45"/>
      <c r="M594" s="50" t="str">
        <f aca="false">IF(G594="","",IF(G594="Fechado ganho","Ganha",IF(G594="Fechado perdido","Perdida","Aberta")))</f>
        <v/>
      </c>
      <c r="N594" s="51" t="str">
        <f aca="false">IF(B594="","",IF(M594="Aberta",DataRef-B594,IF(L594="","",L594-B594)))</f>
        <v/>
      </c>
      <c r="O594" s="50" t="str">
        <f aca="false">IF(M594&lt;&gt;"Aberta","",IF(AND(K594&lt;&gt;"",K594&lt;DataRef),"Previsão vencida",IF(N594&gt;DiasParada,"Parada","")))</f>
        <v/>
      </c>
    </row>
    <row r="595" customFormat="false" ht="15" hidden="false" customHeight="false" outlineLevel="0" collapsed="false">
      <c r="A595" s="44"/>
      <c r="B595" s="45"/>
      <c r="C595" s="46"/>
      <c r="D595" s="46"/>
      <c r="E595" s="7" t="str">
        <f aca="false">IF(C595="","",IFERROR(INDEX(cl_Regiao,MATCH(C595,cl_Nome,0)),""))</f>
        <v/>
      </c>
      <c r="F595" s="46"/>
      <c r="G595" s="46"/>
      <c r="H595" s="47"/>
      <c r="I595" s="48" t="str">
        <f aca="false">IF(G595="","",IFERROR(INDEX(pr_Prob,MATCH(G595,pr_Etapa,0)),0))</f>
        <v/>
      </c>
      <c r="J595" s="49" t="str">
        <f aca="false">IF(H595="","",H595*I595)</f>
        <v/>
      </c>
      <c r="K595" s="45"/>
      <c r="L595" s="45"/>
      <c r="M595" s="50" t="str">
        <f aca="false">IF(G595="","",IF(G595="Fechado ganho","Ganha",IF(G595="Fechado perdido","Perdida","Aberta")))</f>
        <v/>
      </c>
      <c r="N595" s="51" t="str">
        <f aca="false">IF(B595="","",IF(M595="Aberta",DataRef-B595,IF(L595="","",L595-B595)))</f>
        <v/>
      </c>
      <c r="O595" s="50" t="str">
        <f aca="false">IF(M595&lt;&gt;"Aberta","",IF(AND(K595&lt;&gt;"",K595&lt;DataRef),"Previsão vencida",IF(N595&gt;DiasParada,"Parada","")))</f>
        <v/>
      </c>
    </row>
    <row r="596" customFormat="false" ht="15" hidden="false" customHeight="false" outlineLevel="0" collapsed="false">
      <c r="A596" s="44"/>
      <c r="B596" s="45"/>
      <c r="C596" s="46"/>
      <c r="D596" s="46"/>
      <c r="E596" s="7" t="str">
        <f aca="false">IF(C596="","",IFERROR(INDEX(cl_Regiao,MATCH(C596,cl_Nome,0)),""))</f>
        <v/>
      </c>
      <c r="F596" s="46"/>
      <c r="G596" s="46"/>
      <c r="H596" s="47"/>
      <c r="I596" s="48" t="str">
        <f aca="false">IF(G596="","",IFERROR(INDEX(pr_Prob,MATCH(G596,pr_Etapa,0)),0))</f>
        <v/>
      </c>
      <c r="J596" s="49" t="str">
        <f aca="false">IF(H596="","",H596*I596)</f>
        <v/>
      </c>
      <c r="K596" s="45"/>
      <c r="L596" s="45"/>
      <c r="M596" s="50" t="str">
        <f aca="false">IF(G596="","",IF(G596="Fechado ganho","Ganha",IF(G596="Fechado perdido","Perdida","Aberta")))</f>
        <v/>
      </c>
      <c r="N596" s="51" t="str">
        <f aca="false">IF(B596="","",IF(M596="Aberta",DataRef-B596,IF(L596="","",L596-B596)))</f>
        <v/>
      </c>
      <c r="O596" s="50" t="str">
        <f aca="false">IF(M596&lt;&gt;"Aberta","",IF(AND(K596&lt;&gt;"",K596&lt;DataRef),"Previsão vencida",IF(N596&gt;DiasParada,"Parada","")))</f>
        <v/>
      </c>
    </row>
    <row r="597" customFormat="false" ht="15" hidden="false" customHeight="false" outlineLevel="0" collapsed="false">
      <c r="A597" s="44"/>
      <c r="B597" s="45"/>
      <c r="C597" s="46"/>
      <c r="D597" s="46"/>
      <c r="E597" s="7" t="str">
        <f aca="false">IF(C597="","",IFERROR(INDEX(cl_Regiao,MATCH(C597,cl_Nome,0)),""))</f>
        <v/>
      </c>
      <c r="F597" s="46"/>
      <c r="G597" s="46"/>
      <c r="H597" s="47"/>
      <c r="I597" s="48" t="str">
        <f aca="false">IF(G597="","",IFERROR(INDEX(pr_Prob,MATCH(G597,pr_Etapa,0)),0))</f>
        <v/>
      </c>
      <c r="J597" s="49" t="str">
        <f aca="false">IF(H597="","",H597*I597)</f>
        <v/>
      </c>
      <c r="K597" s="45"/>
      <c r="L597" s="45"/>
      <c r="M597" s="50" t="str">
        <f aca="false">IF(G597="","",IF(G597="Fechado ganho","Ganha",IF(G597="Fechado perdido","Perdida","Aberta")))</f>
        <v/>
      </c>
      <c r="N597" s="51" t="str">
        <f aca="false">IF(B597="","",IF(M597="Aberta",DataRef-B597,IF(L597="","",L597-B597)))</f>
        <v/>
      </c>
      <c r="O597" s="50" t="str">
        <f aca="false">IF(M597&lt;&gt;"Aberta","",IF(AND(K597&lt;&gt;"",K597&lt;DataRef),"Previsão vencida",IF(N597&gt;DiasParada,"Parada","")))</f>
        <v/>
      </c>
    </row>
    <row r="598" customFormat="false" ht="15" hidden="false" customHeight="false" outlineLevel="0" collapsed="false">
      <c r="A598" s="44"/>
      <c r="B598" s="45"/>
      <c r="C598" s="46"/>
      <c r="D598" s="46"/>
      <c r="E598" s="7" t="str">
        <f aca="false">IF(C598="","",IFERROR(INDEX(cl_Regiao,MATCH(C598,cl_Nome,0)),""))</f>
        <v/>
      </c>
      <c r="F598" s="46"/>
      <c r="G598" s="46"/>
      <c r="H598" s="47"/>
      <c r="I598" s="48" t="str">
        <f aca="false">IF(G598="","",IFERROR(INDEX(pr_Prob,MATCH(G598,pr_Etapa,0)),0))</f>
        <v/>
      </c>
      <c r="J598" s="49" t="str">
        <f aca="false">IF(H598="","",H598*I598)</f>
        <v/>
      </c>
      <c r="K598" s="45"/>
      <c r="L598" s="45"/>
      <c r="M598" s="50" t="str">
        <f aca="false">IF(G598="","",IF(G598="Fechado ganho","Ganha",IF(G598="Fechado perdido","Perdida","Aberta")))</f>
        <v/>
      </c>
      <c r="N598" s="51" t="str">
        <f aca="false">IF(B598="","",IF(M598="Aberta",DataRef-B598,IF(L598="","",L598-B598)))</f>
        <v/>
      </c>
      <c r="O598" s="50" t="str">
        <f aca="false">IF(M598&lt;&gt;"Aberta","",IF(AND(K598&lt;&gt;"",K598&lt;DataRef),"Previsão vencida",IF(N598&gt;DiasParada,"Parada","")))</f>
        <v/>
      </c>
    </row>
    <row r="599" customFormat="false" ht="15" hidden="false" customHeight="false" outlineLevel="0" collapsed="false">
      <c r="A599" s="44"/>
      <c r="B599" s="45"/>
      <c r="C599" s="46"/>
      <c r="D599" s="46"/>
      <c r="E599" s="7" t="str">
        <f aca="false">IF(C599="","",IFERROR(INDEX(cl_Regiao,MATCH(C599,cl_Nome,0)),""))</f>
        <v/>
      </c>
      <c r="F599" s="46"/>
      <c r="G599" s="46"/>
      <c r="H599" s="47"/>
      <c r="I599" s="48" t="str">
        <f aca="false">IF(G599="","",IFERROR(INDEX(pr_Prob,MATCH(G599,pr_Etapa,0)),0))</f>
        <v/>
      </c>
      <c r="J599" s="49" t="str">
        <f aca="false">IF(H599="","",H599*I599)</f>
        <v/>
      </c>
      <c r="K599" s="45"/>
      <c r="L599" s="45"/>
      <c r="M599" s="50" t="str">
        <f aca="false">IF(G599="","",IF(G599="Fechado ganho","Ganha",IF(G599="Fechado perdido","Perdida","Aberta")))</f>
        <v/>
      </c>
      <c r="N599" s="51" t="str">
        <f aca="false">IF(B599="","",IF(M599="Aberta",DataRef-B599,IF(L599="","",L599-B599)))</f>
        <v/>
      </c>
      <c r="O599" s="50" t="str">
        <f aca="false">IF(M599&lt;&gt;"Aberta","",IF(AND(K599&lt;&gt;"",K599&lt;DataRef),"Previsão vencida",IF(N599&gt;DiasParada,"Parada","")))</f>
        <v/>
      </c>
    </row>
    <row r="600" customFormat="false" ht="15" hidden="false" customHeight="false" outlineLevel="0" collapsed="false">
      <c r="A600" s="44"/>
      <c r="B600" s="45"/>
      <c r="C600" s="46"/>
      <c r="D600" s="46"/>
      <c r="E600" s="7" t="str">
        <f aca="false">IF(C600="","",IFERROR(INDEX(cl_Regiao,MATCH(C600,cl_Nome,0)),""))</f>
        <v/>
      </c>
      <c r="F600" s="46"/>
      <c r="G600" s="46"/>
      <c r="H600" s="47"/>
      <c r="I600" s="48" t="str">
        <f aca="false">IF(G600="","",IFERROR(INDEX(pr_Prob,MATCH(G600,pr_Etapa,0)),0))</f>
        <v/>
      </c>
      <c r="J600" s="49" t="str">
        <f aca="false">IF(H600="","",H600*I600)</f>
        <v/>
      </c>
      <c r="K600" s="45"/>
      <c r="L600" s="45"/>
      <c r="M600" s="50" t="str">
        <f aca="false">IF(G600="","",IF(G600="Fechado ganho","Ganha",IF(G600="Fechado perdido","Perdida","Aberta")))</f>
        <v/>
      </c>
      <c r="N600" s="51" t="str">
        <f aca="false">IF(B600="","",IF(M600="Aberta",DataRef-B600,IF(L600="","",L600-B600)))</f>
        <v/>
      </c>
      <c r="O600" s="50" t="str">
        <f aca="false">IF(M600&lt;&gt;"Aberta","",IF(AND(K600&lt;&gt;"",K600&lt;DataRef),"Previsão vencida",IF(N600&gt;DiasParada,"Parada","")))</f>
        <v/>
      </c>
    </row>
    <row r="601" customFormat="false" ht="15" hidden="false" customHeight="false" outlineLevel="0" collapsed="false">
      <c r="A601" s="44"/>
      <c r="B601" s="45"/>
      <c r="C601" s="46"/>
      <c r="D601" s="46"/>
      <c r="E601" s="7" t="str">
        <f aca="false">IF(C601="","",IFERROR(INDEX(cl_Regiao,MATCH(C601,cl_Nome,0)),""))</f>
        <v/>
      </c>
      <c r="F601" s="46"/>
      <c r="G601" s="46"/>
      <c r="H601" s="47"/>
      <c r="I601" s="48" t="str">
        <f aca="false">IF(G601="","",IFERROR(INDEX(pr_Prob,MATCH(G601,pr_Etapa,0)),0))</f>
        <v/>
      </c>
      <c r="J601" s="49" t="str">
        <f aca="false">IF(H601="","",H601*I601)</f>
        <v/>
      </c>
      <c r="K601" s="45"/>
      <c r="L601" s="45"/>
      <c r="M601" s="50" t="str">
        <f aca="false">IF(G601="","",IF(G601="Fechado ganho","Ganha",IF(G601="Fechado perdido","Perdida","Aberta")))</f>
        <v/>
      </c>
      <c r="N601" s="51" t="str">
        <f aca="false">IF(B601="","",IF(M601="Aberta",DataRef-B601,IF(L601="","",L601-B601)))</f>
        <v/>
      </c>
      <c r="O601" s="50" t="str">
        <f aca="false">IF(M601&lt;&gt;"Aberta","",IF(AND(K601&lt;&gt;"",K601&lt;DataRef),"Previsão vencida",IF(N601&gt;DiasParada,"Parada","")))</f>
        <v/>
      </c>
    </row>
    <row r="602" customFormat="false" ht="15" hidden="false" customHeight="false" outlineLevel="0" collapsed="false">
      <c r="A602" s="44"/>
      <c r="B602" s="45"/>
      <c r="C602" s="46"/>
      <c r="D602" s="46"/>
      <c r="E602" s="7" t="str">
        <f aca="false">IF(C602="","",IFERROR(INDEX(cl_Regiao,MATCH(C602,cl_Nome,0)),""))</f>
        <v/>
      </c>
      <c r="F602" s="46"/>
      <c r="G602" s="46"/>
      <c r="H602" s="47"/>
      <c r="I602" s="48" t="str">
        <f aca="false">IF(G602="","",IFERROR(INDEX(pr_Prob,MATCH(G602,pr_Etapa,0)),0))</f>
        <v/>
      </c>
      <c r="J602" s="49" t="str">
        <f aca="false">IF(H602="","",H602*I602)</f>
        <v/>
      </c>
      <c r="K602" s="45"/>
      <c r="L602" s="45"/>
      <c r="M602" s="50" t="str">
        <f aca="false">IF(G602="","",IF(G602="Fechado ganho","Ganha",IF(G602="Fechado perdido","Perdida","Aberta")))</f>
        <v/>
      </c>
      <c r="N602" s="51" t="str">
        <f aca="false">IF(B602="","",IF(M602="Aberta",DataRef-B602,IF(L602="","",L602-B602)))</f>
        <v/>
      </c>
      <c r="O602" s="50" t="str">
        <f aca="false">IF(M602&lt;&gt;"Aberta","",IF(AND(K602&lt;&gt;"",K602&lt;DataRef),"Previsão vencida",IF(N602&gt;DiasParada,"Parada","")))</f>
        <v/>
      </c>
    </row>
    <row r="603" customFormat="false" ht="15" hidden="false" customHeight="false" outlineLevel="0" collapsed="false">
      <c r="A603" s="44"/>
      <c r="B603" s="45"/>
      <c r="C603" s="46"/>
      <c r="D603" s="46"/>
      <c r="E603" s="7" t="str">
        <f aca="false">IF(C603="","",IFERROR(INDEX(cl_Regiao,MATCH(C603,cl_Nome,0)),""))</f>
        <v/>
      </c>
      <c r="F603" s="46"/>
      <c r="G603" s="46"/>
      <c r="H603" s="47"/>
      <c r="I603" s="48" t="str">
        <f aca="false">IF(G603="","",IFERROR(INDEX(pr_Prob,MATCH(G603,pr_Etapa,0)),0))</f>
        <v/>
      </c>
      <c r="J603" s="49" t="str">
        <f aca="false">IF(H603="","",H603*I603)</f>
        <v/>
      </c>
      <c r="K603" s="45"/>
      <c r="L603" s="45"/>
      <c r="M603" s="50" t="str">
        <f aca="false">IF(G603="","",IF(G603="Fechado ganho","Ganha",IF(G603="Fechado perdido","Perdida","Aberta")))</f>
        <v/>
      </c>
      <c r="N603" s="51" t="str">
        <f aca="false">IF(B603="","",IF(M603="Aberta",DataRef-B603,IF(L603="","",L603-B603)))</f>
        <v/>
      </c>
      <c r="O603" s="50" t="str">
        <f aca="false">IF(M603&lt;&gt;"Aberta","",IF(AND(K603&lt;&gt;"",K603&lt;DataRef),"Previsão vencida",IF(N603&gt;DiasParada,"Parada","")))</f>
        <v/>
      </c>
    </row>
    <row r="604" customFormat="false" ht="15" hidden="false" customHeight="false" outlineLevel="0" collapsed="false">
      <c r="A604" s="44"/>
      <c r="B604" s="45"/>
      <c r="C604" s="46"/>
      <c r="D604" s="46"/>
      <c r="E604" s="7" t="str">
        <f aca="false">IF(C604="","",IFERROR(INDEX(cl_Regiao,MATCH(C604,cl_Nome,0)),""))</f>
        <v/>
      </c>
      <c r="F604" s="46"/>
      <c r="G604" s="46"/>
      <c r="H604" s="47"/>
      <c r="I604" s="48" t="str">
        <f aca="false">IF(G604="","",IFERROR(INDEX(pr_Prob,MATCH(G604,pr_Etapa,0)),0))</f>
        <v/>
      </c>
      <c r="J604" s="49" t="str">
        <f aca="false">IF(H604="","",H604*I604)</f>
        <v/>
      </c>
      <c r="K604" s="45"/>
      <c r="L604" s="45"/>
      <c r="M604" s="50" t="str">
        <f aca="false">IF(G604="","",IF(G604="Fechado ganho","Ganha",IF(G604="Fechado perdido","Perdida","Aberta")))</f>
        <v/>
      </c>
      <c r="N604" s="51" t="str">
        <f aca="false">IF(B604="","",IF(M604="Aberta",DataRef-B604,IF(L604="","",L604-B604)))</f>
        <v/>
      </c>
      <c r="O604" s="50" t="str">
        <f aca="false">IF(M604&lt;&gt;"Aberta","",IF(AND(K604&lt;&gt;"",K604&lt;DataRef),"Previsão vencida",IF(N604&gt;DiasParada,"Parada","")))</f>
        <v/>
      </c>
    </row>
  </sheetData>
  <autoFilter ref="A4:O604"/>
  <conditionalFormatting sqref="O5:O604">
    <cfRule type="expression" priority="2" aboveAverage="0" equalAverage="0" bottom="0" percent="0" rank="0" text="" dxfId="2">
      <formula>O5="Previsão vencida"</formula>
    </cfRule>
    <cfRule type="expression" priority="3" aboveAverage="0" equalAverage="0" bottom="0" percent="0" rank="0" text="" dxfId="1">
      <formula>O5="Parada"</formula>
    </cfRule>
  </conditionalFormatting>
  <conditionalFormatting sqref="M5:M604">
    <cfRule type="expression" priority="4" aboveAverage="0" equalAverage="0" bottom="0" percent="0" rank="0" text="" dxfId="3">
      <formula>M5="Ganha"</formula>
    </cfRule>
    <cfRule type="expression" priority="5" aboveAverage="0" equalAverage="0" bottom="0" percent="0" rank="0" text="" dxfId="15">
      <formula>M5="Perdida"</formula>
    </cfRule>
  </conditionalFormatting>
  <dataValidations count="5">
    <dataValidation allowBlank="true" error="Escolha um item da lista." errorStyle="stop" errorTitle="Valor inválido" operator="between" showDropDown="false" showErrorMessage="true" showInputMessage="false" sqref="C5:C604" type="list">
      <formula1>cl_Nome</formula1>
      <formula2>0</formula2>
    </dataValidation>
    <dataValidation allowBlank="true" error="Escolha um item da lista." errorStyle="stop" errorTitle="Valor inválido" operator="between" showDropDown="false" showErrorMessage="true" showInputMessage="false" sqref="D5:D604" type="list">
      <formula1>lst_Consultores</formula1>
      <formula2>0</formula2>
    </dataValidation>
    <dataValidation allowBlank="true" error="Escolha um item da lista." errorStyle="stop" errorTitle="Valor inválido" operator="between" showDropDown="false" showErrorMessage="true" showInputMessage="false" sqref="F5:F604" type="list">
      <formula1>lst_Produtos</formula1>
      <formula2>0</formula2>
    </dataValidation>
    <dataValidation allowBlank="true" error="Escolha um item da lista." errorStyle="stop" errorTitle="Valor inválido" operator="between" showDropDown="false" showErrorMessage="true" showInputMessage="false" sqref="G5:G604" type="list">
      <formula1>lst_Etapas</formula1>
      <formula2>0</formula2>
    </dataValidation>
    <dataValidation allowBlank="true" error="Digite um valor maior ou igual a zero." errorStyle="stop" errorTitle="Valor inválido" operator="greaterThanOrEqual" showDropDown="false" showErrorMessage="true" showInputMessage="false" sqref="H5:H6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14" min="3" style="0" width="11"/>
  </cols>
  <sheetData>
    <row r="1" customFormat="false" ht="19.7" hidden="false" customHeight="false" outlineLevel="0" collapsed="false">
      <c r="A1" s="43" t="s">
        <v>497</v>
      </c>
    </row>
    <row r="2" customFormat="false" ht="15" hidden="false" customHeight="false" outlineLevel="0" collapsed="false">
      <c r="A2" s="2" t="s">
        <v>498</v>
      </c>
    </row>
    <row r="4" customFormat="false" ht="30" hidden="false" customHeight="true" outlineLevel="0" collapsed="false">
      <c r="A4" s="20" t="s">
        <v>52</v>
      </c>
      <c r="B4" s="21" t="s">
        <v>499</v>
      </c>
      <c r="C4" s="52" t="n">
        <f aca="false">Parâmetros!$M$17</f>
        <v>46023</v>
      </c>
      <c r="D4" s="52" t="n">
        <f aca="false">Parâmetros!$M$18</f>
        <v>46054</v>
      </c>
      <c r="E4" s="52" t="n">
        <f aca="false">Parâmetros!$M$19</f>
        <v>46082</v>
      </c>
      <c r="F4" s="52" t="n">
        <f aca="false">Parâmetros!$M$20</f>
        <v>46113</v>
      </c>
      <c r="G4" s="52" t="n">
        <f aca="false">Parâmetros!$M$21</f>
        <v>46143</v>
      </c>
      <c r="H4" s="52" t="n">
        <f aca="false">Parâmetros!$M$22</f>
        <v>46174</v>
      </c>
      <c r="I4" s="52" t="n">
        <f aca="false">Parâmetros!$M$23</f>
        <v>46204</v>
      </c>
      <c r="J4" s="52" t="n">
        <f aca="false">Parâmetros!$M$24</f>
        <v>46235</v>
      </c>
      <c r="K4" s="52" t="n">
        <f aca="false">Parâmetros!$M$25</f>
        <v>46266</v>
      </c>
      <c r="L4" s="52" t="n">
        <f aca="false">Parâmetros!$M$26</f>
        <v>46296</v>
      </c>
      <c r="M4" s="52" t="n">
        <f aca="false">Parâmetros!$M$27</f>
        <v>46327</v>
      </c>
      <c r="N4" s="52" t="n">
        <f aca="false">Parâmetros!$M$28</f>
        <v>46357</v>
      </c>
    </row>
    <row r="5" customFormat="false" ht="15" hidden="false" customHeight="false" outlineLevel="0" collapsed="false">
      <c r="A5" s="22" t="str">
        <f aca="false">Parâmetros!$E$18</f>
        <v>Ana Souza</v>
      </c>
      <c r="B5" s="53" t="n">
        <f aca="false">SUM(C5:N5)</f>
        <v>857000</v>
      </c>
      <c r="C5" s="54" t="n">
        <v>58000</v>
      </c>
      <c r="D5" s="54" t="n">
        <v>62000</v>
      </c>
      <c r="E5" s="54" t="n">
        <v>75000</v>
      </c>
      <c r="F5" s="54" t="n">
        <v>64000</v>
      </c>
      <c r="G5" s="54" t="n">
        <v>69000</v>
      </c>
      <c r="H5" s="54" t="n">
        <v>72000</v>
      </c>
      <c r="I5" s="54" t="n">
        <v>62000</v>
      </c>
      <c r="J5" s="54" t="n">
        <v>84000</v>
      </c>
      <c r="K5" s="54" t="n">
        <v>81000</v>
      </c>
      <c r="L5" s="54" t="n">
        <v>74000</v>
      </c>
      <c r="M5" s="54" t="n">
        <v>85000</v>
      </c>
      <c r="N5" s="54" t="n">
        <v>71000</v>
      </c>
    </row>
    <row r="6" customFormat="false" ht="15" hidden="false" customHeight="false" outlineLevel="0" collapsed="false">
      <c r="A6" s="22" t="str">
        <f aca="false">Parâmetros!$E$19</f>
        <v>Bruno Lima</v>
      </c>
      <c r="B6" s="53" t="n">
        <f aca="false">SUM(C6:N6)</f>
        <v>684000</v>
      </c>
      <c r="C6" s="54" t="n">
        <v>51000</v>
      </c>
      <c r="D6" s="54" t="n">
        <v>54000</v>
      </c>
      <c r="E6" s="54" t="n">
        <v>62000</v>
      </c>
      <c r="F6" s="54" t="n">
        <v>60000</v>
      </c>
      <c r="G6" s="54" t="n">
        <v>61000</v>
      </c>
      <c r="H6" s="54" t="n">
        <v>53000</v>
      </c>
      <c r="I6" s="54" t="n">
        <v>48000</v>
      </c>
      <c r="J6" s="54" t="n">
        <v>57000</v>
      </c>
      <c r="K6" s="54" t="n">
        <v>68000</v>
      </c>
      <c r="L6" s="54" t="n">
        <v>59000</v>
      </c>
      <c r="M6" s="54" t="n">
        <v>58000</v>
      </c>
      <c r="N6" s="54" t="n">
        <v>53000</v>
      </c>
    </row>
    <row r="7" customFormat="false" ht="15" hidden="false" customHeight="false" outlineLevel="0" collapsed="false">
      <c r="A7" s="22" t="str">
        <f aca="false">Parâmetros!$E$20</f>
        <v>Carla Mendes</v>
      </c>
      <c r="B7" s="53" t="n">
        <f aca="false">SUM(C7:N7)</f>
        <v>656000</v>
      </c>
      <c r="C7" s="54" t="n">
        <v>44000</v>
      </c>
      <c r="D7" s="54" t="n">
        <v>50000</v>
      </c>
      <c r="E7" s="54" t="n">
        <v>63000</v>
      </c>
      <c r="F7" s="54" t="n">
        <v>56000</v>
      </c>
      <c r="G7" s="54" t="n">
        <v>54000</v>
      </c>
      <c r="H7" s="54" t="n">
        <v>50000</v>
      </c>
      <c r="I7" s="54" t="n">
        <v>46000</v>
      </c>
      <c r="J7" s="54" t="n">
        <v>57000</v>
      </c>
      <c r="K7" s="54" t="n">
        <v>55000</v>
      </c>
      <c r="L7" s="54" t="n">
        <v>60000</v>
      </c>
      <c r="M7" s="54" t="n">
        <v>67000</v>
      </c>
      <c r="N7" s="54" t="n">
        <v>54000</v>
      </c>
    </row>
    <row r="8" customFormat="false" ht="15" hidden="false" customHeight="false" outlineLevel="0" collapsed="false">
      <c r="A8" s="22" t="str">
        <f aca="false">Parâmetros!$E$21</f>
        <v>Diego Rocha</v>
      </c>
      <c r="B8" s="53" t="n">
        <f aca="false">SUM(C8:N8)</f>
        <v>541000</v>
      </c>
      <c r="C8" s="54" t="n">
        <v>38000</v>
      </c>
      <c r="D8" s="54" t="n">
        <v>43000</v>
      </c>
      <c r="E8" s="54" t="n">
        <v>50000</v>
      </c>
      <c r="F8" s="54" t="n">
        <v>43000</v>
      </c>
      <c r="G8" s="54" t="n">
        <v>49000</v>
      </c>
      <c r="H8" s="54" t="n">
        <v>41000</v>
      </c>
      <c r="I8" s="54" t="n">
        <v>42000</v>
      </c>
      <c r="J8" s="54" t="n">
        <v>48000</v>
      </c>
      <c r="K8" s="54" t="n">
        <v>45000</v>
      </c>
      <c r="L8" s="54" t="n">
        <v>53000</v>
      </c>
      <c r="M8" s="54" t="n">
        <v>48000</v>
      </c>
      <c r="N8" s="54" t="n">
        <v>41000</v>
      </c>
    </row>
    <row r="9" customFormat="false" ht="15" hidden="false" customHeight="false" outlineLevel="0" collapsed="false">
      <c r="A9" s="22" t="str">
        <f aca="false">Parâmetros!$E$22</f>
        <v>Elisa Prado</v>
      </c>
      <c r="B9" s="53" t="n">
        <f aca="false">SUM(C9:N9)</f>
        <v>484000</v>
      </c>
      <c r="C9" s="54" t="n">
        <v>32000</v>
      </c>
      <c r="D9" s="54" t="n">
        <v>37000</v>
      </c>
      <c r="E9" s="54" t="n">
        <v>39000</v>
      </c>
      <c r="F9" s="54" t="n">
        <v>40000</v>
      </c>
      <c r="G9" s="54" t="n">
        <v>40000</v>
      </c>
      <c r="H9" s="54" t="n">
        <v>38000</v>
      </c>
      <c r="I9" s="54" t="n">
        <v>32000</v>
      </c>
      <c r="J9" s="54" t="n">
        <v>40000</v>
      </c>
      <c r="K9" s="54" t="n">
        <v>48000</v>
      </c>
      <c r="L9" s="54" t="n">
        <v>45000</v>
      </c>
      <c r="M9" s="54" t="n">
        <v>49000</v>
      </c>
      <c r="N9" s="54" t="n">
        <v>44000</v>
      </c>
    </row>
    <row r="10" customFormat="false" ht="15" hidden="false" customHeight="false" outlineLevel="0" collapsed="false">
      <c r="A10" s="22" t="str">
        <f aca="false">Parâmetros!$E$23</f>
        <v>Felipe Duarte</v>
      </c>
      <c r="B10" s="53" t="n">
        <f aca="false">SUM(C10:N10)</f>
        <v>633000</v>
      </c>
      <c r="C10" s="54" t="n">
        <v>47000</v>
      </c>
      <c r="D10" s="54" t="n">
        <v>55000</v>
      </c>
      <c r="E10" s="54" t="n">
        <v>54000</v>
      </c>
      <c r="F10" s="54" t="n">
        <v>50000</v>
      </c>
      <c r="G10" s="54" t="n">
        <v>53000</v>
      </c>
      <c r="H10" s="54" t="n">
        <v>53000</v>
      </c>
      <c r="I10" s="54" t="n">
        <v>43000</v>
      </c>
      <c r="J10" s="54" t="n">
        <v>53000</v>
      </c>
      <c r="K10" s="54" t="n">
        <v>58000</v>
      </c>
      <c r="L10" s="54" t="n">
        <v>52000</v>
      </c>
      <c r="M10" s="54" t="n">
        <v>67000</v>
      </c>
      <c r="N10" s="54" t="n">
        <v>48000</v>
      </c>
    </row>
    <row r="11" customFormat="false" ht="15" hidden="false" customHeight="false" outlineLevel="0" collapsed="false">
      <c r="A11" s="26" t="s">
        <v>70</v>
      </c>
      <c r="B11" s="27" t="n">
        <f aca="false">SUM(B5:B10)</f>
        <v>3855000</v>
      </c>
      <c r="C11" s="55" t="n">
        <f aca="false">SUM(C5:C10)</f>
        <v>270000</v>
      </c>
      <c r="D11" s="55" t="n">
        <f aca="false">SUM(D5:D10)</f>
        <v>301000</v>
      </c>
      <c r="E11" s="55" t="n">
        <f aca="false">SUM(E5:E10)</f>
        <v>343000</v>
      </c>
      <c r="F11" s="55" t="n">
        <f aca="false">SUM(F5:F10)</f>
        <v>313000</v>
      </c>
      <c r="G11" s="55" t="n">
        <f aca="false">SUM(G5:G10)</f>
        <v>326000</v>
      </c>
      <c r="H11" s="55" t="n">
        <f aca="false">SUM(H5:H10)</f>
        <v>307000</v>
      </c>
      <c r="I11" s="55" t="n">
        <f aca="false">SUM(I5:I10)</f>
        <v>273000</v>
      </c>
      <c r="J11" s="55" t="n">
        <f aca="false">SUM(J5:J10)</f>
        <v>339000</v>
      </c>
      <c r="K11" s="55" t="n">
        <f aca="false">SUM(K5:K10)</f>
        <v>355000</v>
      </c>
      <c r="L11" s="55" t="n">
        <f aca="false">SUM(L5:L10)</f>
        <v>343000</v>
      </c>
      <c r="M11" s="55" t="n">
        <f aca="false">SUM(M5:M10)</f>
        <v>374000</v>
      </c>
      <c r="N11" s="55" t="n">
        <f aca="false">SUM(N5:N10)</f>
        <v>311000</v>
      </c>
    </row>
    <row r="13" customFormat="false" ht="15" hidden="false" customHeight="false" outlineLevel="0" collapsed="false">
      <c r="A13" s="42" t="s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9" min="8" style="0" width="12"/>
    <col collapsed="false" customWidth="true" hidden="false" outlineLevel="0" max="10" min="10" style="0" width="36"/>
    <col collapsed="false" customWidth="true" hidden="false" outlineLevel="0" max="11" min="11" style="0" width="12"/>
  </cols>
  <sheetData>
    <row r="1" customFormat="false" ht="19.7" hidden="false" customHeight="false" outlineLevel="0" collapsed="false">
      <c r="A1" s="43" t="s">
        <v>501</v>
      </c>
    </row>
    <row r="2" customFormat="false" ht="15" hidden="false" customHeight="false" outlineLevel="0" collapsed="false">
      <c r="A2" s="2" t="s">
        <v>502</v>
      </c>
    </row>
    <row r="4" customFormat="false" ht="30" hidden="false" customHeight="true" outlineLevel="0" collapsed="false">
      <c r="A4" s="20" t="s">
        <v>86</v>
      </c>
      <c r="B4" s="21" t="s">
        <v>503</v>
      </c>
      <c r="C4" s="21" t="s">
        <v>99</v>
      </c>
      <c r="D4" s="21" t="s">
        <v>52</v>
      </c>
      <c r="E4" s="21" t="s">
        <v>88</v>
      </c>
      <c r="F4" s="21" t="s">
        <v>504</v>
      </c>
      <c r="G4" s="21" t="s">
        <v>87</v>
      </c>
      <c r="H4" s="21" t="s">
        <v>505</v>
      </c>
      <c r="I4" s="21" t="s">
        <v>69</v>
      </c>
      <c r="J4" s="21" t="s">
        <v>506</v>
      </c>
      <c r="K4" s="21" t="s">
        <v>507</v>
      </c>
    </row>
    <row r="5" customFormat="false" ht="15" hidden="false" customHeight="false" outlineLevel="0" collapsed="false">
      <c r="A5" s="46" t="s">
        <v>135</v>
      </c>
      <c r="B5" s="46" t="s">
        <v>508</v>
      </c>
      <c r="C5" s="46" t="s">
        <v>509</v>
      </c>
      <c r="D5" s="46" t="s">
        <v>119</v>
      </c>
      <c r="E5" s="56" t="n">
        <f aca="false">IF(A5="","",IF(F5=0,"",_xlfn.MAXIFS(op_Fech,op_Cliente,A5,op_Status,"Ganha")))</f>
        <v>46266</v>
      </c>
      <c r="F5" s="51" t="n">
        <f aca="false">IF(A5="","",COUNTIFS(op_Cliente,A5,op_Status,"Ganha"))</f>
        <v>8</v>
      </c>
      <c r="G5" s="49" t="n">
        <f aca="false">IF(A5="","",SUMIFS(op_Valor,op_Cliente,A5,op_Status,"Ganha"))</f>
        <v>104600</v>
      </c>
      <c r="H5" s="51" t="n">
        <f aca="false">IF(OR(A5="",E5=""),"",DataRef-E5)</f>
        <v>42</v>
      </c>
      <c r="I5" s="50" t="str">
        <f aca="false">IF(A5="","",IF(F5=0,"Sem compra",IF(H5&lt;=DiasRisco,"Ativo",IF(H5&lt;=DiasInativo,"Em risco","Inativo"))))</f>
        <v>Ativo</v>
      </c>
      <c r="J5" s="7" t="str">
        <f aca="false">IF(A5="","",IF(I5="Ativo","Manter relacionamento e oferecer upsell",IF(I5="Em risco","Contato do consultor nesta semana",IF(I5="Inativo","Campanha de reativação","Primeira abordagem comercial"))))</f>
        <v>Manter relacionamento e oferecer upsell</v>
      </c>
      <c r="K5" s="57" t="n">
        <f aca="false">IF(A5="","",G5+ROW()/1000000)</f>
        <v>104600.000005</v>
      </c>
    </row>
    <row r="6" customFormat="false" ht="15" hidden="false" customHeight="false" outlineLevel="0" collapsed="false">
      <c r="A6" s="46" t="s">
        <v>168</v>
      </c>
      <c r="B6" s="46" t="s">
        <v>508</v>
      </c>
      <c r="C6" s="46" t="s">
        <v>510</v>
      </c>
      <c r="D6" s="46" t="s">
        <v>127</v>
      </c>
      <c r="E6" s="56" t="n">
        <f aca="false">IF(A6="","",IF(F6=0,"",_xlfn.MAXIFS(op_Fech,op_Cliente,A6,op_Status,"Ganha")))</f>
        <v>46284</v>
      </c>
      <c r="F6" s="51" t="n">
        <f aca="false">IF(A6="","",COUNTIFS(op_Cliente,A6,op_Status,"Ganha"))</f>
        <v>4</v>
      </c>
      <c r="G6" s="49" t="n">
        <f aca="false">IF(A6="","",SUMIFS(op_Valor,op_Cliente,A6,op_Status,"Ganha"))</f>
        <v>52600</v>
      </c>
      <c r="H6" s="51" t="n">
        <f aca="false">IF(OR(A6="",E6=""),"",DataRef-E6)</f>
        <v>24</v>
      </c>
      <c r="I6" s="50" t="str">
        <f aca="false">IF(A6="","",IF(F6=0,"Sem compra",IF(H6&lt;=DiasRisco,"Ativo",IF(H6&lt;=DiasInativo,"Em risco","Inativo"))))</f>
        <v>Ativo</v>
      </c>
      <c r="J6" s="7" t="str">
        <f aca="false">IF(A6="","",IF(I6="Ativo","Manter relacionamento e oferecer upsell",IF(I6="Em risco","Contato do consultor nesta semana",IF(I6="Inativo","Campanha de reativação","Primeira abordagem comercial"))))</f>
        <v>Manter relacionamento e oferecer upsell</v>
      </c>
      <c r="K6" s="57" t="n">
        <f aca="false">IF(A6="","",G6+ROW()/1000000)</f>
        <v>52600.000006</v>
      </c>
    </row>
    <row r="7" customFormat="false" ht="15" hidden="false" customHeight="false" outlineLevel="0" collapsed="false">
      <c r="A7" s="46" t="s">
        <v>236</v>
      </c>
      <c r="B7" s="46" t="s">
        <v>511</v>
      </c>
      <c r="C7" s="46" t="s">
        <v>512</v>
      </c>
      <c r="D7" s="46" t="s">
        <v>165</v>
      </c>
      <c r="E7" s="56" t="n">
        <f aca="false">IF(A7="","",IF(F7=0,"",_xlfn.MAXIFS(op_Fech,op_Cliente,A7,op_Status,"Ganha")))</f>
        <v>46193</v>
      </c>
      <c r="F7" s="51" t="n">
        <f aca="false">IF(A7="","",COUNTIFS(op_Cliente,A7,op_Status,"Ganha"))</f>
        <v>2</v>
      </c>
      <c r="G7" s="49" t="n">
        <f aca="false">IF(A7="","",SUMIFS(op_Valor,op_Cliente,A7,op_Status,"Ganha"))</f>
        <v>29600</v>
      </c>
      <c r="H7" s="51" t="n">
        <f aca="false">IF(OR(A7="",E7=""),"",DataRef-E7)</f>
        <v>115</v>
      </c>
      <c r="I7" s="50" t="str">
        <f aca="false">IF(A7="","",IF(F7=0,"Sem compra",IF(H7&lt;=DiasRisco,"Ativo",IF(H7&lt;=DiasInativo,"Em risco","Inativo"))))</f>
        <v>Em risco</v>
      </c>
      <c r="J7" s="7" t="str">
        <f aca="false">IF(A7="","",IF(I7="Ativo","Manter relacionamento e oferecer upsell",IF(I7="Em risco","Contato do consultor nesta semana",IF(I7="Inativo","Campanha de reativação","Primeira abordagem comercial"))))</f>
        <v>Contato do consultor nesta semana</v>
      </c>
      <c r="K7" s="57" t="n">
        <f aca="false">IF(A7="","",G7+ROW()/1000000)</f>
        <v>29600.000007</v>
      </c>
    </row>
    <row r="8" customFormat="false" ht="15" hidden="false" customHeight="false" outlineLevel="0" collapsed="false">
      <c r="A8" s="46" t="s">
        <v>182</v>
      </c>
      <c r="B8" s="46" t="s">
        <v>508</v>
      </c>
      <c r="C8" s="46" t="s">
        <v>509</v>
      </c>
      <c r="D8" s="46" t="s">
        <v>109</v>
      </c>
      <c r="E8" s="56" t="n">
        <f aca="false">IF(A8="","",IF(F8=0,"",_xlfn.MAXIFS(op_Fech,op_Cliente,A8,op_Status,"Ganha")))</f>
        <v>46235</v>
      </c>
      <c r="F8" s="51" t="n">
        <f aca="false">IF(A8="","",COUNTIFS(op_Cliente,A8,op_Status,"Ganha"))</f>
        <v>5</v>
      </c>
      <c r="G8" s="49" t="n">
        <f aca="false">IF(A8="","",SUMIFS(op_Valor,op_Cliente,A8,op_Status,"Ganha"))</f>
        <v>36600</v>
      </c>
      <c r="H8" s="51" t="n">
        <f aca="false">IF(OR(A8="",E8=""),"",DataRef-E8)</f>
        <v>73</v>
      </c>
      <c r="I8" s="50" t="str">
        <f aca="false">IF(A8="","",IF(F8=0,"Sem compra",IF(H8&lt;=DiasRisco,"Ativo",IF(H8&lt;=DiasInativo,"Em risco","Inativo"))))</f>
        <v>Ativo</v>
      </c>
      <c r="J8" s="7" t="str">
        <f aca="false">IF(A8="","",IF(I8="Ativo","Manter relacionamento e oferecer upsell",IF(I8="Em risco","Contato do consultor nesta semana",IF(I8="Inativo","Campanha de reativação","Primeira abordagem comercial"))))</f>
        <v>Manter relacionamento e oferecer upsell</v>
      </c>
      <c r="K8" s="57" t="n">
        <f aca="false">IF(A8="","",G8+ROW()/1000000)</f>
        <v>36600.000008</v>
      </c>
    </row>
    <row r="9" customFormat="false" ht="15" hidden="false" customHeight="false" outlineLevel="0" collapsed="false">
      <c r="A9" s="46" t="s">
        <v>130</v>
      </c>
      <c r="B9" s="46" t="s">
        <v>508</v>
      </c>
      <c r="C9" s="46" t="s">
        <v>513</v>
      </c>
      <c r="D9" s="46" t="s">
        <v>131</v>
      </c>
      <c r="E9" s="56" t="n">
        <f aca="false">IF(A9="","",IF(F9=0,"",_xlfn.MAXIFS(op_Fech,op_Cliente,A9,op_Status,"Ganha")))</f>
        <v>46206</v>
      </c>
      <c r="F9" s="51" t="n">
        <f aca="false">IF(A9="","",COUNTIFS(op_Cliente,A9,op_Status,"Ganha"))</f>
        <v>4</v>
      </c>
      <c r="G9" s="49" t="n">
        <f aca="false">IF(A9="","",SUMIFS(op_Valor,op_Cliente,A9,op_Status,"Ganha"))</f>
        <v>28700</v>
      </c>
      <c r="H9" s="51" t="n">
        <f aca="false">IF(OR(A9="",E9=""),"",DataRef-E9)</f>
        <v>102</v>
      </c>
      <c r="I9" s="50" t="str">
        <f aca="false">IF(A9="","",IF(F9=0,"Sem compra",IF(H9&lt;=DiasRisco,"Ativo",IF(H9&lt;=DiasInativo,"Em risco","Inativo"))))</f>
        <v>Em risco</v>
      </c>
      <c r="J9" s="7" t="str">
        <f aca="false">IF(A9="","",IF(I9="Ativo","Manter relacionamento e oferecer upsell",IF(I9="Em risco","Contato do consultor nesta semana",IF(I9="Inativo","Campanha de reativação","Primeira abordagem comercial"))))</f>
        <v>Contato do consultor nesta semana</v>
      </c>
      <c r="K9" s="57" t="n">
        <f aca="false">IF(A9="","",G9+ROW()/1000000)</f>
        <v>28700.000009</v>
      </c>
    </row>
    <row r="10" customFormat="false" ht="15" hidden="false" customHeight="false" outlineLevel="0" collapsed="false">
      <c r="A10" s="46" t="s">
        <v>145</v>
      </c>
      <c r="B10" s="46" t="s">
        <v>511</v>
      </c>
      <c r="C10" s="46" t="s">
        <v>514</v>
      </c>
      <c r="D10" s="46" t="s">
        <v>114</v>
      </c>
      <c r="E10" s="56" t="n">
        <f aca="false">IF(A10="","",IF(F10=0,"",_xlfn.MAXIFS(op_Fech,op_Cliente,A10,op_Status,"Ganha")))</f>
        <v>46243</v>
      </c>
      <c r="F10" s="51" t="n">
        <f aca="false">IF(A10="","",COUNTIFS(op_Cliente,A10,op_Status,"Ganha"))</f>
        <v>6</v>
      </c>
      <c r="G10" s="49" t="n">
        <f aca="false">IF(A10="","",SUMIFS(op_Valor,op_Cliente,A10,op_Status,"Ganha"))</f>
        <v>241500</v>
      </c>
      <c r="H10" s="51" t="n">
        <f aca="false">IF(OR(A10="",E10=""),"",DataRef-E10)</f>
        <v>65</v>
      </c>
      <c r="I10" s="50" t="str">
        <f aca="false">IF(A10="","",IF(F10=0,"Sem compra",IF(H10&lt;=DiasRisco,"Ativo",IF(H10&lt;=DiasInativo,"Em risco","Inativo"))))</f>
        <v>Ativo</v>
      </c>
      <c r="J10" s="7" t="str">
        <f aca="false">IF(A10="","",IF(I10="Ativo","Manter relacionamento e oferecer upsell",IF(I10="Em risco","Contato do consultor nesta semana",IF(I10="Inativo","Campanha de reativação","Primeira abordagem comercial"))))</f>
        <v>Manter relacionamento e oferecer upsell</v>
      </c>
      <c r="K10" s="57" t="n">
        <f aca="false">IF(A10="","",G10+ROW()/1000000)</f>
        <v>241500.00001</v>
      </c>
    </row>
    <row r="11" customFormat="false" ht="15" hidden="false" customHeight="false" outlineLevel="0" collapsed="false">
      <c r="A11" s="46" t="s">
        <v>192</v>
      </c>
      <c r="B11" s="46" t="s">
        <v>508</v>
      </c>
      <c r="C11" s="46" t="s">
        <v>509</v>
      </c>
      <c r="D11" s="46" t="s">
        <v>119</v>
      </c>
      <c r="E11" s="56" t="n">
        <f aca="false">IF(A11="","",IF(F11=0,"",_xlfn.MAXIFS(op_Fech,op_Cliente,A11,op_Status,"Ganha")))</f>
        <v>46237</v>
      </c>
      <c r="F11" s="51" t="n">
        <f aca="false">IF(A11="","",COUNTIFS(op_Cliente,A11,op_Status,"Ganha"))</f>
        <v>6</v>
      </c>
      <c r="G11" s="49" t="n">
        <f aca="false">IF(A11="","",SUMIFS(op_Valor,op_Cliente,A11,op_Status,"Ganha"))</f>
        <v>39900</v>
      </c>
      <c r="H11" s="51" t="n">
        <f aca="false">IF(OR(A11="",E11=""),"",DataRef-E11)</f>
        <v>71</v>
      </c>
      <c r="I11" s="50" t="str">
        <f aca="false">IF(A11="","",IF(F11=0,"Sem compra",IF(H11&lt;=DiasRisco,"Ativo",IF(H11&lt;=DiasInativo,"Em risco","Inativo"))))</f>
        <v>Ativo</v>
      </c>
      <c r="J11" s="7" t="str">
        <f aca="false">IF(A11="","",IF(I11="Ativo","Manter relacionamento e oferecer upsell",IF(I11="Em risco","Contato do consultor nesta semana",IF(I11="Inativo","Campanha de reativação","Primeira abordagem comercial"))))</f>
        <v>Manter relacionamento e oferecer upsell</v>
      </c>
      <c r="K11" s="57" t="n">
        <f aca="false">IF(A11="","",G11+ROW()/1000000)</f>
        <v>39900.000011</v>
      </c>
    </row>
    <row r="12" customFormat="false" ht="15" hidden="false" customHeight="false" outlineLevel="0" collapsed="false">
      <c r="A12" s="46" t="s">
        <v>155</v>
      </c>
      <c r="B12" s="46" t="s">
        <v>508</v>
      </c>
      <c r="C12" s="46" t="s">
        <v>510</v>
      </c>
      <c r="D12" s="46" t="s">
        <v>127</v>
      </c>
      <c r="E12" s="56" t="n">
        <f aca="false">IF(A12="","",IF(F12=0,"",_xlfn.MAXIFS(op_Fech,op_Cliente,A12,op_Status,"Ganha")))</f>
        <v>46169</v>
      </c>
      <c r="F12" s="51" t="n">
        <f aca="false">IF(A12="","",COUNTIFS(op_Cliente,A12,op_Status,"Ganha"))</f>
        <v>2</v>
      </c>
      <c r="G12" s="49" t="n">
        <f aca="false">IF(A12="","",SUMIFS(op_Valor,op_Cliente,A12,op_Status,"Ganha"))</f>
        <v>16700</v>
      </c>
      <c r="H12" s="51" t="n">
        <f aca="false">IF(OR(A12="",E12=""),"",DataRef-E12)</f>
        <v>139</v>
      </c>
      <c r="I12" s="50" t="str">
        <f aca="false">IF(A12="","",IF(F12=0,"Sem compra",IF(H12&lt;=DiasRisco,"Ativo",IF(H12&lt;=DiasInativo,"Em risco","Inativo"))))</f>
        <v>Em risco</v>
      </c>
      <c r="J12" s="7" t="str">
        <f aca="false">IF(A12="","",IF(I12="Ativo","Manter relacionamento e oferecer upsell",IF(I12="Em risco","Contato do consultor nesta semana",IF(I12="Inativo","Campanha de reativação","Primeira abordagem comercial"))))</f>
        <v>Contato do consultor nesta semana</v>
      </c>
      <c r="K12" s="57" t="n">
        <f aca="false">IF(A12="","",G12+ROW()/1000000)</f>
        <v>16700.000012</v>
      </c>
    </row>
    <row r="13" customFormat="false" ht="15" hidden="false" customHeight="false" outlineLevel="0" collapsed="false">
      <c r="A13" s="46" t="s">
        <v>164</v>
      </c>
      <c r="B13" s="46" t="s">
        <v>511</v>
      </c>
      <c r="C13" s="46" t="s">
        <v>512</v>
      </c>
      <c r="D13" s="46" t="s">
        <v>165</v>
      </c>
      <c r="E13" s="56" t="n">
        <f aca="false">IF(A13="","",IF(F13=0,"",_xlfn.MAXIFS(op_Fech,op_Cliente,A13,op_Status,"Ganha")))</f>
        <v>46216</v>
      </c>
      <c r="F13" s="51" t="n">
        <f aca="false">IF(A13="","",COUNTIFS(op_Cliente,A13,op_Status,"Ganha"))</f>
        <v>7</v>
      </c>
      <c r="G13" s="49" t="n">
        <f aca="false">IF(A13="","",SUMIFS(op_Valor,op_Cliente,A13,op_Status,"Ganha"))</f>
        <v>262100</v>
      </c>
      <c r="H13" s="51" t="n">
        <f aca="false">IF(OR(A13="",E13=""),"",DataRef-E13)</f>
        <v>92</v>
      </c>
      <c r="I13" s="50" t="str">
        <f aca="false">IF(A13="","",IF(F13=0,"Sem compra",IF(H13&lt;=DiasRisco,"Ativo",IF(H13&lt;=DiasInativo,"Em risco","Inativo"))))</f>
        <v>Em risco</v>
      </c>
      <c r="J13" s="7" t="str">
        <f aca="false">IF(A13="","",IF(I13="Ativo","Manter relacionamento e oferecer upsell",IF(I13="Em risco","Contato do consultor nesta semana",IF(I13="Inativo","Campanha de reativação","Primeira abordagem comercial"))))</f>
        <v>Contato do consultor nesta semana</v>
      </c>
      <c r="K13" s="57" t="n">
        <f aca="false">IF(A13="","",G13+ROW()/1000000)</f>
        <v>262100.000013</v>
      </c>
    </row>
    <row r="14" customFormat="false" ht="15" hidden="false" customHeight="false" outlineLevel="0" collapsed="false">
      <c r="A14" s="46" t="s">
        <v>108</v>
      </c>
      <c r="B14" s="46" t="s">
        <v>508</v>
      </c>
      <c r="C14" s="46" t="s">
        <v>509</v>
      </c>
      <c r="D14" s="46" t="s">
        <v>109</v>
      </c>
      <c r="E14" s="56" t="n">
        <f aca="false">IF(A14="","",IF(F14=0,"",_xlfn.MAXIFS(op_Fech,op_Cliente,A14,op_Status,"Ganha")))</f>
        <v>46254</v>
      </c>
      <c r="F14" s="51" t="n">
        <f aca="false">IF(A14="","",COUNTIFS(op_Cliente,A14,op_Status,"Ganha"))</f>
        <v>5</v>
      </c>
      <c r="G14" s="49" t="n">
        <f aca="false">IF(A14="","",SUMIFS(op_Valor,op_Cliente,A14,op_Status,"Ganha"))</f>
        <v>64300</v>
      </c>
      <c r="H14" s="51" t="n">
        <f aca="false">IF(OR(A14="",E14=""),"",DataRef-E14)</f>
        <v>54</v>
      </c>
      <c r="I14" s="50" t="str">
        <f aca="false">IF(A14="","",IF(F14=0,"Sem compra",IF(H14&lt;=DiasRisco,"Ativo",IF(H14&lt;=DiasInativo,"Em risco","Inativo"))))</f>
        <v>Ativo</v>
      </c>
      <c r="J14" s="7" t="str">
        <f aca="false">IF(A14="","",IF(I14="Ativo","Manter relacionamento e oferecer upsell",IF(I14="Em risco","Contato do consultor nesta semana",IF(I14="Inativo","Campanha de reativação","Primeira abordagem comercial"))))</f>
        <v>Manter relacionamento e oferecer upsell</v>
      </c>
      <c r="K14" s="57" t="n">
        <f aca="false">IF(A14="","",G14+ROW()/1000000)</f>
        <v>64300.000014</v>
      </c>
    </row>
    <row r="15" customFormat="false" ht="15" hidden="false" customHeight="false" outlineLevel="0" collapsed="false">
      <c r="A15" s="46" t="s">
        <v>162</v>
      </c>
      <c r="B15" s="46" t="s">
        <v>508</v>
      </c>
      <c r="C15" s="46" t="s">
        <v>513</v>
      </c>
      <c r="D15" s="46" t="s">
        <v>131</v>
      </c>
      <c r="E15" s="56" t="n">
        <f aca="false">IF(A15="","",IF(F15=0,"",_xlfn.MAXIFS(op_Fech,op_Cliente,A15,op_Status,"Ganha")))</f>
        <v>46226</v>
      </c>
      <c r="F15" s="51" t="n">
        <f aca="false">IF(A15="","",COUNTIFS(op_Cliente,A15,op_Status,"Ganha"))</f>
        <v>6</v>
      </c>
      <c r="G15" s="49" t="n">
        <f aca="false">IF(A15="","",SUMIFS(op_Valor,op_Cliente,A15,op_Status,"Ganha"))</f>
        <v>98000</v>
      </c>
      <c r="H15" s="51" t="n">
        <f aca="false">IF(OR(A15="",E15=""),"",DataRef-E15)</f>
        <v>82</v>
      </c>
      <c r="I15" s="50" t="str">
        <f aca="false">IF(A15="","",IF(F15=0,"Sem compra",IF(H15&lt;=DiasRisco,"Ativo",IF(H15&lt;=DiasInativo,"Em risco","Inativo"))))</f>
        <v>Ativo</v>
      </c>
      <c r="J15" s="7" t="str">
        <f aca="false">IF(A15="","",IF(I15="Ativo","Manter relacionamento e oferecer upsell",IF(I15="Em risco","Contato do consultor nesta semana",IF(I15="Inativo","Campanha de reativação","Primeira abordagem comercial"))))</f>
        <v>Manter relacionamento e oferecer upsell</v>
      </c>
      <c r="K15" s="57" t="n">
        <f aca="false">IF(A15="","",G15+ROW()/1000000)</f>
        <v>98000.000015</v>
      </c>
    </row>
    <row r="16" customFormat="false" ht="15" hidden="false" customHeight="false" outlineLevel="0" collapsed="false">
      <c r="A16" s="46" t="s">
        <v>175</v>
      </c>
      <c r="B16" s="46" t="s">
        <v>515</v>
      </c>
      <c r="C16" s="46" t="s">
        <v>514</v>
      </c>
      <c r="D16" s="46" t="s">
        <v>114</v>
      </c>
      <c r="E16" s="56" t="n">
        <f aca="false">IF(A16="","",IF(F16=0,"",_xlfn.MAXIFS(op_Fech,op_Cliente,A16,op_Status,"Ganha")))</f>
        <v>46262</v>
      </c>
      <c r="F16" s="51" t="n">
        <f aca="false">IF(A16="","",COUNTIFS(op_Cliente,A16,op_Status,"Ganha"))</f>
        <v>1</v>
      </c>
      <c r="G16" s="49" t="n">
        <f aca="false">IF(A16="","",SUMIFS(op_Valor,op_Cliente,A16,op_Status,"Ganha"))</f>
        <v>71200</v>
      </c>
      <c r="H16" s="51" t="n">
        <f aca="false">IF(OR(A16="",E16=""),"",DataRef-E16)</f>
        <v>46</v>
      </c>
      <c r="I16" s="50" t="str">
        <f aca="false">IF(A16="","",IF(F16=0,"Sem compra",IF(H16&lt;=DiasRisco,"Ativo",IF(H16&lt;=DiasInativo,"Em risco","Inativo"))))</f>
        <v>Ativo</v>
      </c>
      <c r="J16" s="7" t="str">
        <f aca="false">IF(A16="","",IF(I16="Ativo","Manter relacionamento e oferecer upsell",IF(I16="Em risco","Contato do consultor nesta semana",IF(I16="Inativo","Campanha de reativação","Primeira abordagem comercial"))))</f>
        <v>Manter relacionamento e oferecer upsell</v>
      </c>
      <c r="K16" s="57" t="n">
        <f aca="false">IF(A16="","",G16+ROW()/1000000)</f>
        <v>71200.000016</v>
      </c>
    </row>
    <row r="17" customFormat="false" ht="15" hidden="false" customHeight="false" outlineLevel="0" collapsed="false">
      <c r="A17" s="46" t="s">
        <v>121</v>
      </c>
      <c r="B17" s="46" t="s">
        <v>515</v>
      </c>
      <c r="C17" s="46" t="s">
        <v>509</v>
      </c>
      <c r="D17" s="46" t="s">
        <v>119</v>
      </c>
      <c r="E17" s="56" t="n">
        <f aca="false">IF(A17="","",IF(F17=0,"",_xlfn.MAXIFS(op_Fech,op_Cliente,A17,op_Status,"Ganha")))</f>
        <v>46303</v>
      </c>
      <c r="F17" s="51" t="n">
        <f aca="false">IF(A17="","",COUNTIFS(op_Cliente,A17,op_Status,"Ganha"))</f>
        <v>8</v>
      </c>
      <c r="G17" s="49" t="n">
        <f aca="false">IF(A17="","",SUMIFS(op_Valor,op_Cliente,A17,op_Status,"Ganha"))</f>
        <v>305800</v>
      </c>
      <c r="H17" s="51" t="n">
        <f aca="false">IF(OR(A17="",E17=""),"",DataRef-E17)</f>
        <v>5</v>
      </c>
      <c r="I17" s="50" t="str">
        <f aca="false">IF(A17="","",IF(F17=0,"Sem compra",IF(H17&lt;=DiasRisco,"Ativo",IF(H17&lt;=DiasInativo,"Em risco","Inativo"))))</f>
        <v>Ativo</v>
      </c>
      <c r="J17" s="7" t="str">
        <f aca="false">IF(A17="","",IF(I17="Ativo","Manter relacionamento e oferecer upsell",IF(I17="Em risco","Contato do consultor nesta semana",IF(I17="Inativo","Campanha de reativação","Primeira abordagem comercial"))))</f>
        <v>Manter relacionamento e oferecer upsell</v>
      </c>
      <c r="K17" s="57" t="n">
        <f aca="false">IF(A17="","",G17+ROW()/1000000)</f>
        <v>305800.000017</v>
      </c>
    </row>
    <row r="18" customFormat="false" ht="15" hidden="false" customHeight="false" outlineLevel="0" collapsed="false">
      <c r="A18" s="46" t="s">
        <v>180</v>
      </c>
      <c r="B18" s="46" t="s">
        <v>515</v>
      </c>
      <c r="C18" s="46" t="s">
        <v>510</v>
      </c>
      <c r="D18" s="46" t="s">
        <v>127</v>
      </c>
      <c r="E18" s="56" t="n">
        <f aca="false">IF(A18="","",IF(F18=0,"",_xlfn.MAXIFS(op_Fech,op_Cliente,A18,op_Status,"Ganha")))</f>
        <v>46282</v>
      </c>
      <c r="F18" s="51" t="n">
        <f aca="false">IF(A18="","",COUNTIFS(op_Cliente,A18,op_Status,"Ganha"))</f>
        <v>4</v>
      </c>
      <c r="G18" s="49" t="n">
        <f aca="false">IF(A18="","",SUMIFS(op_Valor,op_Cliente,A18,op_Status,"Ganha"))</f>
        <v>163200</v>
      </c>
      <c r="H18" s="51" t="n">
        <f aca="false">IF(OR(A18="",E18=""),"",DataRef-E18)</f>
        <v>26</v>
      </c>
      <c r="I18" s="50" t="str">
        <f aca="false">IF(A18="","",IF(F18=0,"Sem compra",IF(H18&lt;=DiasRisco,"Ativo",IF(H18&lt;=DiasInativo,"Em risco","Inativo"))))</f>
        <v>Ativo</v>
      </c>
      <c r="J18" s="7" t="str">
        <f aca="false">IF(A18="","",IF(I18="Ativo","Manter relacionamento e oferecer upsell",IF(I18="Em risco","Contato do consultor nesta semana",IF(I18="Inativo","Campanha de reativação","Primeira abordagem comercial"))))</f>
        <v>Manter relacionamento e oferecer upsell</v>
      </c>
      <c r="K18" s="57" t="n">
        <f aca="false">IF(A18="","",G18+ROW()/1000000)</f>
        <v>163200.000018</v>
      </c>
    </row>
    <row r="19" customFormat="false" ht="15" hidden="false" customHeight="false" outlineLevel="0" collapsed="false">
      <c r="A19" s="46" t="s">
        <v>207</v>
      </c>
      <c r="B19" s="46" t="s">
        <v>511</v>
      </c>
      <c r="C19" s="46" t="s">
        <v>512</v>
      </c>
      <c r="D19" s="46" t="s">
        <v>165</v>
      </c>
      <c r="E19" s="56" t="n">
        <f aca="false">IF(A19="","",IF(F19=0,"",_xlfn.MAXIFS(op_Fech,op_Cliente,A19,op_Status,"Ganha")))</f>
        <v>46237</v>
      </c>
      <c r="F19" s="51" t="n">
        <f aca="false">IF(A19="","",COUNTIFS(op_Cliente,A19,op_Status,"Ganha"))</f>
        <v>7</v>
      </c>
      <c r="G19" s="49" t="n">
        <f aca="false">IF(A19="","",SUMIFS(op_Valor,op_Cliente,A19,op_Status,"Ganha"))</f>
        <v>99300</v>
      </c>
      <c r="H19" s="51" t="n">
        <f aca="false">IF(OR(A19="",E19=""),"",DataRef-E19)</f>
        <v>71</v>
      </c>
      <c r="I19" s="50" t="str">
        <f aca="false">IF(A19="","",IF(F19=0,"Sem compra",IF(H19&lt;=DiasRisco,"Ativo",IF(H19&lt;=DiasInativo,"Em risco","Inativo"))))</f>
        <v>Ativo</v>
      </c>
      <c r="J19" s="7" t="str">
        <f aca="false">IF(A19="","",IF(I19="Ativo","Manter relacionamento e oferecer upsell",IF(I19="Em risco","Contato do consultor nesta semana",IF(I19="Inativo","Campanha de reativação","Primeira abordagem comercial"))))</f>
        <v>Manter relacionamento e oferecer upsell</v>
      </c>
      <c r="K19" s="57" t="n">
        <f aca="false">IF(A19="","",G19+ROW()/1000000)</f>
        <v>99300.000019</v>
      </c>
    </row>
    <row r="20" customFormat="false" ht="15" hidden="false" customHeight="false" outlineLevel="0" collapsed="false">
      <c r="A20" s="46" t="s">
        <v>141</v>
      </c>
      <c r="B20" s="46" t="s">
        <v>511</v>
      </c>
      <c r="C20" s="46" t="s">
        <v>509</v>
      </c>
      <c r="D20" s="46" t="s">
        <v>109</v>
      </c>
      <c r="E20" s="56" t="n">
        <f aca="false">IF(A20="","",IF(F20=0,"",_xlfn.MAXIFS(op_Fech,op_Cliente,A20,op_Status,"Ganha")))</f>
        <v>46256</v>
      </c>
      <c r="F20" s="51" t="n">
        <f aca="false">IF(A20="","",COUNTIFS(op_Cliente,A20,op_Status,"Ganha"))</f>
        <v>7</v>
      </c>
      <c r="G20" s="49" t="n">
        <f aca="false">IF(A20="","",SUMIFS(op_Valor,op_Cliente,A20,op_Status,"Ganha"))</f>
        <v>295400</v>
      </c>
      <c r="H20" s="51" t="n">
        <f aca="false">IF(OR(A20="",E20=""),"",DataRef-E20)</f>
        <v>52</v>
      </c>
      <c r="I20" s="50" t="str">
        <f aca="false">IF(A20="","",IF(F20=0,"Sem compra",IF(H20&lt;=DiasRisco,"Ativo",IF(H20&lt;=DiasInativo,"Em risco","Inativo"))))</f>
        <v>Ativo</v>
      </c>
      <c r="J20" s="7" t="str">
        <f aca="false">IF(A20="","",IF(I20="Ativo","Manter relacionamento e oferecer upsell",IF(I20="Em risco","Contato do consultor nesta semana",IF(I20="Inativo","Campanha de reativação","Primeira abordagem comercial"))))</f>
        <v>Manter relacionamento e oferecer upsell</v>
      </c>
      <c r="K20" s="57" t="n">
        <f aca="false">IF(A20="","",G20+ROW()/1000000)</f>
        <v>295400.00002</v>
      </c>
    </row>
    <row r="21" customFormat="false" ht="15" hidden="false" customHeight="false" outlineLevel="0" collapsed="false">
      <c r="A21" s="46" t="s">
        <v>153</v>
      </c>
      <c r="B21" s="46" t="s">
        <v>516</v>
      </c>
      <c r="C21" s="46" t="s">
        <v>513</v>
      </c>
      <c r="D21" s="46" t="s">
        <v>131</v>
      </c>
      <c r="E21" s="56" t="n">
        <f aca="false">IF(A21="","",IF(F21=0,"",_xlfn.MAXIFS(op_Fech,op_Cliente,A21,op_Status,"Ganha")))</f>
        <v>46290</v>
      </c>
      <c r="F21" s="51" t="n">
        <f aca="false">IF(A21="","",COUNTIFS(op_Cliente,A21,op_Status,"Ganha"))</f>
        <v>8</v>
      </c>
      <c r="G21" s="49" t="n">
        <f aca="false">IF(A21="","",SUMIFS(op_Valor,op_Cliente,A21,op_Status,"Ganha"))</f>
        <v>115800</v>
      </c>
      <c r="H21" s="51" t="n">
        <f aca="false">IF(OR(A21="",E21=""),"",DataRef-E21)</f>
        <v>18</v>
      </c>
      <c r="I21" s="50" t="str">
        <f aca="false">IF(A21="","",IF(F21=0,"Sem compra",IF(H21&lt;=DiasRisco,"Ativo",IF(H21&lt;=DiasInativo,"Em risco","Inativo"))))</f>
        <v>Ativo</v>
      </c>
      <c r="J21" s="7" t="str">
        <f aca="false">IF(A21="","",IF(I21="Ativo","Manter relacionamento e oferecer upsell",IF(I21="Em risco","Contato do consultor nesta semana",IF(I21="Inativo","Campanha de reativação","Primeira abordagem comercial"))))</f>
        <v>Manter relacionamento e oferecer upsell</v>
      </c>
      <c r="K21" s="57" t="n">
        <f aca="false">IF(A21="","",G21+ROW()/1000000)</f>
        <v>115800.000021</v>
      </c>
    </row>
    <row r="22" customFormat="false" ht="15" hidden="false" customHeight="false" outlineLevel="0" collapsed="false">
      <c r="A22" s="46" t="s">
        <v>113</v>
      </c>
      <c r="B22" s="46" t="s">
        <v>516</v>
      </c>
      <c r="C22" s="46" t="s">
        <v>514</v>
      </c>
      <c r="D22" s="46" t="s">
        <v>114</v>
      </c>
      <c r="E22" s="56" t="n">
        <f aca="false">IF(A22="","",IF(F22=0,"",_xlfn.MAXIFS(op_Fech,op_Cliente,A22,op_Status,"Ganha")))</f>
        <v>46269</v>
      </c>
      <c r="F22" s="51" t="n">
        <f aca="false">IF(A22="","",COUNTIFS(op_Cliente,A22,op_Status,"Ganha"))</f>
        <v>10</v>
      </c>
      <c r="G22" s="49" t="n">
        <f aca="false">IF(A22="","",SUMIFS(op_Valor,op_Cliente,A22,op_Status,"Ganha"))</f>
        <v>179500</v>
      </c>
      <c r="H22" s="51" t="n">
        <f aca="false">IF(OR(A22="",E22=""),"",DataRef-E22)</f>
        <v>39</v>
      </c>
      <c r="I22" s="50" t="str">
        <f aca="false">IF(A22="","",IF(F22=0,"Sem compra",IF(H22&lt;=DiasRisco,"Ativo",IF(H22&lt;=DiasInativo,"Em risco","Inativo"))))</f>
        <v>Ativo</v>
      </c>
      <c r="J22" s="7" t="str">
        <f aca="false">IF(A22="","",IF(I22="Ativo","Manter relacionamento e oferecer upsell",IF(I22="Em risco","Contato do consultor nesta semana",IF(I22="Inativo","Campanha de reativação","Primeira abordagem comercial"))))</f>
        <v>Manter relacionamento e oferecer upsell</v>
      </c>
      <c r="K22" s="57" t="n">
        <f aca="false">IF(A22="","",G22+ROW()/1000000)</f>
        <v>179500.000022</v>
      </c>
    </row>
    <row r="23" customFormat="false" ht="15" hidden="false" customHeight="false" outlineLevel="0" collapsed="false">
      <c r="A23" s="46" t="s">
        <v>118</v>
      </c>
      <c r="B23" s="46" t="s">
        <v>508</v>
      </c>
      <c r="C23" s="46" t="s">
        <v>509</v>
      </c>
      <c r="D23" s="46" t="s">
        <v>119</v>
      </c>
      <c r="E23" s="56" t="n">
        <f aca="false">IF(A23="","",IF(F23=0,"",_xlfn.MAXIFS(op_Fech,op_Cliente,A23,op_Status,"Ganha")))</f>
        <v>46201</v>
      </c>
      <c r="F23" s="51" t="n">
        <f aca="false">IF(A23="","",COUNTIFS(op_Cliente,A23,op_Status,"Ganha"))</f>
        <v>3</v>
      </c>
      <c r="G23" s="49" t="n">
        <f aca="false">IF(A23="","",SUMIFS(op_Valor,op_Cliente,A23,op_Status,"Ganha"))</f>
        <v>22200</v>
      </c>
      <c r="H23" s="51" t="n">
        <f aca="false">IF(OR(A23="",E23=""),"",DataRef-E23)</f>
        <v>107</v>
      </c>
      <c r="I23" s="50" t="str">
        <f aca="false">IF(A23="","",IF(F23=0,"Sem compra",IF(H23&lt;=DiasRisco,"Ativo",IF(H23&lt;=DiasInativo,"Em risco","Inativo"))))</f>
        <v>Em risco</v>
      </c>
      <c r="J23" s="7" t="str">
        <f aca="false">IF(A23="","",IF(I23="Ativo","Manter relacionamento e oferecer upsell",IF(I23="Em risco","Contato do consultor nesta semana",IF(I23="Inativo","Campanha de reativação","Primeira abordagem comercial"))))</f>
        <v>Contato do consultor nesta semana</v>
      </c>
      <c r="K23" s="57" t="n">
        <f aca="false">IF(A23="","",G23+ROW()/1000000)</f>
        <v>22200.000023</v>
      </c>
    </row>
    <row r="24" customFormat="false" ht="15" hidden="false" customHeight="false" outlineLevel="0" collapsed="false">
      <c r="A24" s="46" t="s">
        <v>201</v>
      </c>
      <c r="B24" s="46" t="s">
        <v>508</v>
      </c>
      <c r="C24" s="46" t="s">
        <v>510</v>
      </c>
      <c r="D24" s="46" t="s">
        <v>127</v>
      </c>
      <c r="E24" s="56" t="n">
        <f aca="false">IF(A24="","",IF(F24=0,"",_xlfn.MAXIFS(op_Fech,op_Cliente,A24,op_Status,"Ganha")))</f>
        <v>46170</v>
      </c>
      <c r="F24" s="51" t="n">
        <f aca="false">IF(A24="","",COUNTIFS(op_Cliente,A24,op_Status,"Ganha"))</f>
        <v>4</v>
      </c>
      <c r="G24" s="49" t="n">
        <f aca="false">IF(A24="","",SUMIFS(op_Valor,op_Cliente,A24,op_Status,"Ganha"))</f>
        <v>80900</v>
      </c>
      <c r="H24" s="51" t="n">
        <f aca="false">IF(OR(A24="",E24=""),"",DataRef-E24)</f>
        <v>138</v>
      </c>
      <c r="I24" s="50" t="str">
        <f aca="false">IF(A24="","",IF(F24=0,"Sem compra",IF(H24&lt;=DiasRisco,"Ativo",IF(H24&lt;=DiasInativo,"Em risco","Inativo"))))</f>
        <v>Em risco</v>
      </c>
      <c r="J24" s="7" t="str">
        <f aca="false">IF(A24="","",IF(I24="Ativo","Manter relacionamento e oferecer upsell",IF(I24="Em risco","Contato do consultor nesta semana",IF(I24="Inativo","Campanha de reativação","Primeira abordagem comercial"))))</f>
        <v>Contato do consultor nesta semana</v>
      </c>
      <c r="K24" s="57" t="n">
        <f aca="false">IF(A24="","",G24+ROW()/1000000)</f>
        <v>80900.000024</v>
      </c>
    </row>
    <row r="25" customFormat="false" ht="15" hidden="false" customHeight="false" outlineLevel="0" collapsed="false">
      <c r="A25" s="46" t="s">
        <v>171</v>
      </c>
      <c r="B25" s="46" t="s">
        <v>508</v>
      </c>
      <c r="C25" s="46" t="s">
        <v>512</v>
      </c>
      <c r="D25" s="46" t="s">
        <v>165</v>
      </c>
      <c r="E25" s="56" t="n">
        <f aca="false">IF(A25="","",IF(F25=0,"",_xlfn.MAXIFS(op_Fech,op_Cliente,A25,op_Status,"Ganha")))</f>
        <v>46277</v>
      </c>
      <c r="F25" s="51" t="n">
        <f aca="false">IF(A25="","",COUNTIFS(op_Cliente,A25,op_Status,"Ganha"))</f>
        <v>5</v>
      </c>
      <c r="G25" s="49" t="n">
        <f aca="false">IF(A25="","",SUMIFS(op_Valor,op_Cliente,A25,op_Status,"Ganha"))</f>
        <v>142900</v>
      </c>
      <c r="H25" s="51" t="n">
        <f aca="false">IF(OR(A25="",E25=""),"",DataRef-E25)</f>
        <v>31</v>
      </c>
      <c r="I25" s="50" t="str">
        <f aca="false">IF(A25="","",IF(F25=0,"Sem compra",IF(H25&lt;=DiasRisco,"Ativo",IF(H25&lt;=DiasInativo,"Em risco","Inativo"))))</f>
        <v>Ativo</v>
      </c>
      <c r="J25" s="7" t="str">
        <f aca="false">IF(A25="","",IF(I25="Ativo","Manter relacionamento e oferecer upsell",IF(I25="Em risco","Contato do consultor nesta semana",IF(I25="Inativo","Campanha de reativação","Primeira abordagem comercial"))))</f>
        <v>Manter relacionamento e oferecer upsell</v>
      </c>
      <c r="K25" s="57" t="n">
        <f aca="false">IF(A25="","",G25+ROW()/1000000)</f>
        <v>142900.000025</v>
      </c>
    </row>
    <row r="26" customFormat="false" ht="15" hidden="false" customHeight="false" outlineLevel="0" collapsed="false">
      <c r="A26" s="46" t="s">
        <v>148</v>
      </c>
      <c r="B26" s="46" t="s">
        <v>511</v>
      </c>
      <c r="C26" s="46" t="s">
        <v>509</v>
      </c>
      <c r="D26" s="46" t="s">
        <v>109</v>
      </c>
      <c r="E26" s="56" t="n">
        <f aca="false">IF(A26="","",IF(F26=0,"",_xlfn.MAXIFS(op_Fech,op_Cliente,A26,op_Status,"Ganha")))</f>
        <v>46300</v>
      </c>
      <c r="F26" s="51" t="n">
        <f aca="false">IF(A26="","",COUNTIFS(op_Cliente,A26,op_Status,"Ganha"))</f>
        <v>4</v>
      </c>
      <c r="G26" s="49" t="n">
        <f aca="false">IF(A26="","",SUMIFS(op_Valor,op_Cliente,A26,op_Status,"Ganha"))</f>
        <v>126900</v>
      </c>
      <c r="H26" s="51" t="n">
        <f aca="false">IF(OR(A26="",E26=""),"",DataRef-E26)</f>
        <v>8</v>
      </c>
      <c r="I26" s="50" t="str">
        <f aca="false">IF(A26="","",IF(F26=0,"Sem compra",IF(H26&lt;=DiasRisco,"Ativo",IF(H26&lt;=DiasInativo,"Em risco","Inativo"))))</f>
        <v>Ativo</v>
      </c>
      <c r="J26" s="7" t="str">
        <f aca="false">IF(A26="","",IF(I26="Ativo","Manter relacionamento e oferecer upsell",IF(I26="Em risco","Contato do consultor nesta semana",IF(I26="Inativo","Campanha de reativação","Primeira abordagem comercial"))))</f>
        <v>Manter relacionamento e oferecer upsell</v>
      </c>
      <c r="K26" s="57" t="n">
        <f aca="false">IF(A26="","",G26+ROW()/1000000)</f>
        <v>126900.000026</v>
      </c>
    </row>
    <row r="27" customFormat="false" ht="15" hidden="false" customHeight="false" outlineLevel="0" collapsed="false">
      <c r="A27" s="46" t="s">
        <v>158</v>
      </c>
      <c r="B27" s="46" t="s">
        <v>508</v>
      </c>
      <c r="C27" s="46" t="s">
        <v>513</v>
      </c>
      <c r="D27" s="46" t="s">
        <v>131</v>
      </c>
      <c r="E27" s="56" t="n">
        <f aca="false">IF(A27="","",IF(F27=0,"",_xlfn.MAXIFS(op_Fech,op_Cliente,A27,op_Status,"Ganha")))</f>
        <v>46230</v>
      </c>
      <c r="F27" s="51" t="n">
        <f aca="false">IF(A27="","",COUNTIFS(op_Cliente,A27,op_Status,"Ganha"))</f>
        <v>7</v>
      </c>
      <c r="G27" s="49" t="n">
        <f aca="false">IF(A27="","",SUMIFS(op_Valor,op_Cliente,A27,op_Status,"Ganha"))</f>
        <v>124400</v>
      </c>
      <c r="H27" s="51" t="n">
        <f aca="false">IF(OR(A27="",E27=""),"",DataRef-E27)</f>
        <v>78</v>
      </c>
      <c r="I27" s="50" t="str">
        <f aca="false">IF(A27="","",IF(F27=0,"Sem compra",IF(H27&lt;=DiasRisco,"Ativo",IF(H27&lt;=DiasInativo,"Em risco","Inativo"))))</f>
        <v>Ativo</v>
      </c>
      <c r="J27" s="7" t="str">
        <f aca="false">IF(A27="","",IF(I27="Ativo","Manter relacionamento e oferecer upsell",IF(I27="Em risco","Contato do consultor nesta semana",IF(I27="Inativo","Campanha de reativação","Primeira abordagem comercial"))))</f>
        <v>Manter relacionamento e oferecer upsell</v>
      </c>
      <c r="K27" s="57" t="n">
        <f aca="false">IF(A27="","",G27+ROW()/1000000)</f>
        <v>124400.000027</v>
      </c>
    </row>
    <row r="28" customFormat="false" ht="15" hidden="false" customHeight="false" outlineLevel="0" collapsed="false">
      <c r="A28" s="46" t="s">
        <v>137</v>
      </c>
      <c r="B28" s="46" t="s">
        <v>508</v>
      </c>
      <c r="C28" s="46" t="s">
        <v>514</v>
      </c>
      <c r="D28" s="46" t="s">
        <v>114</v>
      </c>
      <c r="E28" s="56" t="n">
        <f aca="false">IF(A28="","",IF(F28=0,"",_xlfn.MAXIFS(op_Fech,op_Cliente,A28,op_Status,"Ganha")))</f>
        <v>46247</v>
      </c>
      <c r="F28" s="51" t="n">
        <f aca="false">IF(A28="","",COUNTIFS(op_Cliente,A28,op_Status,"Ganha"))</f>
        <v>6</v>
      </c>
      <c r="G28" s="49" t="n">
        <f aca="false">IF(A28="","",SUMIFS(op_Valor,op_Cliente,A28,op_Status,"Ganha"))</f>
        <v>51000</v>
      </c>
      <c r="H28" s="51" t="n">
        <f aca="false">IF(OR(A28="",E28=""),"",DataRef-E28)</f>
        <v>61</v>
      </c>
      <c r="I28" s="50" t="str">
        <f aca="false">IF(A28="","",IF(F28=0,"Sem compra",IF(H28&lt;=DiasRisco,"Ativo",IF(H28&lt;=DiasInativo,"Em risco","Inativo"))))</f>
        <v>Ativo</v>
      </c>
      <c r="J28" s="7" t="str">
        <f aca="false">IF(A28="","",IF(I28="Ativo","Manter relacionamento e oferecer upsell",IF(I28="Em risco","Contato do consultor nesta semana",IF(I28="Inativo","Campanha de reativação","Primeira abordagem comercial"))))</f>
        <v>Manter relacionamento e oferecer upsell</v>
      </c>
      <c r="K28" s="57" t="n">
        <f aca="false">IF(A28="","",G28+ROW()/1000000)</f>
        <v>51000.000028</v>
      </c>
    </row>
    <row r="29" customFormat="false" ht="15" hidden="false" customHeight="false" outlineLevel="0" collapsed="false">
      <c r="A29" s="46" t="s">
        <v>133</v>
      </c>
      <c r="B29" s="46" t="s">
        <v>515</v>
      </c>
      <c r="C29" s="46" t="s">
        <v>509</v>
      </c>
      <c r="D29" s="46" t="s">
        <v>119</v>
      </c>
      <c r="E29" s="56" t="n">
        <f aca="false">IF(A29="","",IF(F29=0,"",_xlfn.MAXIFS(op_Fech,op_Cliente,A29,op_Status,"Ganha")))</f>
        <v>46235</v>
      </c>
      <c r="F29" s="51" t="n">
        <f aca="false">IF(A29="","",COUNTIFS(op_Cliente,A29,op_Status,"Ganha"))</f>
        <v>8</v>
      </c>
      <c r="G29" s="49" t="n">
        <f aca="false">IF(A29="","",SUMIFS(op_Valor,op_Cliente,A29,op_Status,"Ganha"))</f>
        <v>260400</v>
      </c>
      <c r="H29" s="51" t="n">
        <f aca="false">IF(OR(A29="",E29=""),"",DataRef-E29)</f>
        <v>73</v>
      </c>
      <c r="I29" s="50" t="str">
        <f aca="false">IF(A29="","",IF(F29=0,"Sem compra",IF(H29&lt;=DiasRisco,"Ativo",IF(H29&lt;=DiasInativo,"Em risco","Inativo"))))</f>
        <v>Ativo</v>
      </c>
      <c r="J29" s="7" t="str">
        <f aca="false">IF(A29="","",IF(I29="Ativo","Manter relacionamento e oferecer upsell",IF(I29="Em risco","Contato do consultor nesta semana",IF(I29="Inativo","Campanha de reativação","Primeira abordagem comercial"))))</f>
        <v>Manter relacionamento e oferecer upsell</v>
      </c>
      <c r="K29" s="57" t="n">
        <f aca="false">IF(A29="","",G29+ROW()/1000000)</f>
        <v>260400.000029</v>
      </c>
    </row>
    <row r="30" customFormat="false" ht="15" hidden="false" customHeight="false" outlineLevel="0" collapsed="false">
      <c r="A30" s="46" t="s">
        <v>126</v>
      </c>
      <c r="B30" s="46" t="s">
        <v>511</v>
      </c>
      <c r="C30" s="46" t="s">
        <v>510</v>
      </c>
      <c r="D30" s="46" t="s">
        <v>127</v>
      </c>
      <c r="E30" s="56" t="n">
        <f aca="false">IF(A30="","",IF(F30=0,"",_xlfn.MAXIFS(op_Fech,op_Cliente,A30,op_Status,"Ganha")))</f>
        <v>46230</v>
      </c>
      <c r="F30" s="51" t="n">
        <f aca="false">IF(A30="","",COUNTIFS(op_Cliente,A30,op_Status,"Ganha"))</f>
        <v>6</v>
      </c>
      <c r="G30" s="49" t="n">
        <f aca="false">IF(A30="","",SUMIFS(op_Valor,op_Cliente,A30,op_Status,"Ganha"))</f>
        <v>173300</v>
      </c>
      <c r="H30" s="51" t="n">
        <f aca="false">IF(OR(A30="",E30=""),"",DataRef-E30)</f>
        <v>78</v>
      </c>
      <c r="I30" s="50" t="str">
        <f aca="false">IF(A30="","",IF(F30=0,"Sem compra",IF(H30&lt;=DiasRisco,"Ativo",IF(H30&lt;=DiasInativo,"Em risco","Inativo"))))</f>
        <v>Ativo</v>
      </c>
      <c r="J30" s="7" t="str">
        <f aca="false">IF(A30="","",IF(I30="Ativo","Manter relacionamento e oferecer upsell",IF(I30="Em risco","Contato do consultor nesta semana",IF(I30="Inativo","Campanha de reativação","Primeira abordagem comercial"))))</f>
        <v>Manter relacionamento e oferecer upsell</v>
      </c>
      <c r="K30" s="57" t="n">
        <f aca="false">IF(A30="","",G30+ROW()/1000000)</f>
        <v>173300.00003</v>
      </c>
    </row>
    <row r="31" customFormat="false" ht="15" hidden="false" customHeight="false" outlineLevel="0" collapsed="false">
      <c r="A31" s="46" t="s">
        <v>337</v>
      </c>
      <c r="B31" s="46" t="s">
        <v>516</v>
      </c>
      <c r="C31" s="46" t="s">
        <v>512</v>
      </c>
      <c r="D31" s="46" t="s">
        <v>165</v>
      </c>
      <c r="E31" s="56" t="n">
        <f aca="false">IF(A31="","",IF(F31=0,"",_xlfn.MAXIFS(op_Fech,op_Cliente,A31,op_Status,"Ganha")))</f>
        <v>46184</v>
      </c>
      <c r="F31" s="51" t="n">
        <f aca="false">IF(A31="","",COUNTIFS(op_Cliente,A31,op_Status,"Ganha"))</f>
        <v>2</v>
      </c>
      <c r="G31" s="49" t="n">
        <f aca="false">IF(A31="","",SUMIFS(op_Valor,op_Cliente,A31,op_Status,"Ganha"))</f>
        <v>27400</v>
      </c>
      <c r="H31" s="51" t="n">
        <f aca="false">IF(OR(A31="",E31=""),"",DataRef-E31)</f>
        <v>124</v>
      </c>
      <c r="I31" s="50" t="str">
        <f aca="false">IF(A31="","",IF(F31=0,"Sem compra",IF(H31&lt;=DiasRisco,"Ativo",IF(H31&lt;=DiasInativo,"Em risco","Inativo"))))</f>
        <v>Em risco</v>
      </c>
      <c r="J31" s="7" t="str">
        <f aca="false">IF(A31="","",IF(I31="Ativo","Manter relacionamento e oferecer upsell",IF(I31="Em risco","Contato do consultor nesta semana",IF(I31="Inativo","Campanha de reativação","Primeira abordagem comercial"))))</f>
        <v>Contato do consultor nesta semana</v>
      </c>
      <c r="K31" s="57" t="n">
        <f aca="false">IF(A31="","",G31+ROW()/1000000)</f>
        <v>27400.000031</v>
      </c>
    </row>
    <row r="32" customFormat="false" ht="15" hidden="false" customHeight="false" outlineLevel="0" collapsed="false">
      <c r="A32" s="46" t="s">
        <v>329</v>
      </c>
      <c r="B32" s="46" t="s">
        <v>508</v>
      </c>
      <c r="C32" s="46" t="s">
        <v>509</v>
      </c>
      <c r="D32" s="46" t="s">
        <v>109</v>
      </c>
      <c r="E32" s="56" t="n">
        <f aca="false">IF(A32="","",IF(F32=0,"",_xlfn.MAXIFS(op_Fech,op_Cliente,A32,op_Status,"Ganha")))</f>
        <v>46176</v>
      </c>
      <c r="F32" s="51" t="n">
        <f aca="false">IF(A32="","",COUNTIFS(op_Cliente,A32,op_Status,"Ganha"))</f>
        <v>2</v>
      </c>
      <c r="G32" s="49" t="n">
        <f aca="false">IF(A32="","",SUMIFS(op_Valor,op_Cliente,A32,op_Status,"Ganha"))</f>
        <v>8800</v>
      </c>
      <c r="H32" s="51" t="n">
        <f aca="false">IF(OR(A32="",E32=""),"",DataRef-E32)</f>
        <v>132</v>
      </c>
      <c r="I32" s="50" t="str">
        <f aca="false">IF(A32="","",IF(F32=0,"Sem compra",IF(H32&lt;=DiasRisco,"Ativo",IF(H32&lt;=DiasInativo,"Em risco","Inativo"))))</f>
        <v>Em risco</v>
      </c>
      <c r="J32" s="7" t="str">
        <f aca="false">IF(A32="","",IF(I32="Ativo","Manter relacionamento e oferecer upsell",IF(I32="Em risco","Contato do consultor nesta semana",IF(I32="Inativo","Campanha de reativação","Primeira abordagem comercial"))))</f>
        <v>Contato do consultor nesta semana</v>
      </c>
      <c r="K32" s="57" t="n">
        <f aca="false">IF(A32="","",G32+ROW()/1000000)</f>
        <v>8800.000032</v>
      </c>
    </row>
    <row r="33" customFormat="false" ht="15" hidden="false" customHeight="false" outlineLevel="0" collapsed="false">
      <c r="A33" s="46" t="s">
        <v>139</v>
      </c>
      <c r="B33" s="46" t="s">
        <v>508</v>
      </c>
      <c r="C33" s="46" t="s">
        <v>513</v>
      </c>
      <c r="D33" s="46" t="s">
        <v>131</v>
      </c>
      <c r="E33" s="56" t="n">
        <f aca="false">IF(A33="","",IF(F33=0,"",_xlfn.MAXIFS(op_Fech,op_Cliente,A33,op_Status,"Ganha")))</f>
        <v>46052</v>
      </c>
      <c r="F33" s="51" t="n">
        <f aca="false">IF(A33="","",COUNTIFS(op_Cliente,A33,op_Status,"Ganha"))</f>
        <v>2</v>
      </c>
      <c r="G33" s="49" t="n">
        <f aca="false">IF(A33="","",SUMIFS(op_Valor,op_Cliente,A33,op_Status,"Ganha"))</f>
        <v>22700</v>
      </c>
      <c r="H33" s="51" t="n">
        <f aca="false">IF(OR(A33="",E33=""),"",DataRef-E33)</f>
        <v>256</v>
      </c>
      <c r="I33" s="50" t="str">
        <f aca="false">IF(A33="","",IF(F33=0,"Sem compra",IF(H33&lt;=DiasRisco,"Ativo",IF(H33&lt;=DiasInativo,"Em risco","Inativo"))))</f>
        <v>Inativo</v>
      </c>
      <c r="J33" s="7" t="str">
        <f aca="false">IF(A33="","",IF(I33="Ativo","Manter relacionamento e oferecer upsell",IF(I33="Em risco","Contato do consultor nesta semana",IF(I33="Inativo","Campanha de reativação","Primeira abordagem comercial"))))</f>
        <v>Campanha de reativação</v>
      </c>
      <c r="K33" s="57" t="n">
        <f aca="false">IF(A33="","",G33+ROW()/1000000)</f>
        <v>22700.000033</v>
      </c>
    </row>
    <row r="34" customFormat="false" ht="15" hidden="false" customHeight="false" outlineLevel="0" collapsed="false">
      <c r="A34" s="46" t="s">
        <v>186</v>
      </c>
      <c r="B34" s="46" t="s">
        <v>511</v>
      </c>
      <c r="C34" s="46" t="s">
        <v>514</v>
      </c>
      <c r="D34" s="46" t="s">
        <v>114</v>
      </c>
      <c r="E34" s="56" t="n">
        <f aca="false">IF(A34="","",IF(F34=0,"",_xlfn.MAXIFS(op_Fech,op_Cliente,A34,op_Status,"Ganha")))</f>
        <v>46007</v>
      </c>
      <c r="F34" s="51" t="n">
        <f aca="false">IF(A34="","",COUNTIFS(op_Cliente,A34,op_Status,"Ganha"))</f>
        <v>2</v>
      </c>
      <c r="G34" s="49" t="n">
        <f aca="false">IF(A34="","",SUMIFS(op_Valor,op_Cliente,A34,op_Status,"Ganha"))</f>
        <v>57200</v>
      </c>
      <c r="H34" s="51" t="n">
        <f aca="false">IF(OR(A34="",E34=""),"",DataRef-E34)</f>
        <v>301</v>
      </c>
      <c r="I34" s="50" t="str">
        <f aca="false">IF(A34="","",IF(F34=0,"Sem compra",IF(H34&lt;=DiasRisco,"Ativo",IF(H34&lt;=DiasInativo,"Em risco","Inativo"))))</f>
        <v>Inativo</v>
      </c>
      <c r="J34" s="7" t="str">
        <f aca="false">IF(A34="","",IF(I34="Ativo","Manter relacionamento e oferecer upsell",IF(I34="Em risco","Contato do consultor nesta semana",IF(I34="Inativo","Campanha de reativação","Primeira abordagem comercial"))))</f>
        <v>Campanha de reativação</v>
      </c>
      <c r="K34" s="57" t="n">
        <f aca="false">IF(A34="","",G34+ROW()/1000000)</f>
        <v>57200.000034</v>
      </c>
    </row>
    <row r="35" customFormat="false" ht="15" hidden="false" customHeight="false" outlineLevel="0" collapsed="false">
      <c r="A35" s="46" t="s">
        <v>351</v>
      </c>
      <c r="B35" s="46" t="s">
        <v>508</v>
      </c>
      <c r="C35" s="46" t="s">
        <v>509</v>
      </c>
      <c r="D35" s="46" t="s">
        <v>119</v>
      </c>
      <c r="E35" s="56" t="str">
        <f aca="false">IF(A35="","",IF(F35=0,"",_xlfn.MAXIFS(op_Fech,op_Cliente,A35,op_Status,"Ganha")))</f>
        <v/>
      </c>
      <c r="F35" s="51" t="n">
        <f aca="false">IF(A35="","",COUNTIFS(op_Cliente,A35,op_Status,"Ganha"))</f>
        <v>0</v>
      </c>
      <c r="G35" s="49" t="n">
        <f aca="false">IF(A35="","",SUMIFS(op_Valor,op_Cliente,A35,op_Status,"Ganha"))</f>
        <v>0</v>
      </c>
      <c r="H35" s="51" t="str">
        <f aca="false">IF(OR(A35="",E35=""),"",DataRef-E35)</f>
        <v/>
      </c>
      <c r="I35" s="50" t="str">
        <f aca="false">IF(A35="","",IF(F35=0,"Sem compra",IF(H35&lt;=DiasRisco,"Ativo",IF(H35&lt;=DiasInativo,"Em risco","Inativo"))))</f>
        <v>Sem compra</v>
      </c>
      <c r="J35" s="7" t="str">
        <f aca="false">IF(A35="","",IF(I35="Ativo","Manter relacionamento e oferecer upsell",IF(I35="Em risco","Contato do consultor nesta semana",IF(I35="Inativo","Campanha de reativação","Primeira abordagem comercial"))))</f>
        <v>Primeira abordagem comercial</v>
      </c>
      <c r="K35" s="57" t="n">
        <f aca="false">IF(A35="","",G35+ROW()/1000000)</f>
        <v>3.5E-005</v>
      </c>
    </row>
    <row r="36" customFormat="false" ht="15" hidden="false" customHeight="false" outlineLevel="0" collapsed="false">
      <c r="A36" s="46" t="s">
        <v>346</v>
      </c>
      <c r="B36" s="46" t="s">
        <v>508</v>
      </c>
      <c r="C36" s="46" t="s">
        <v>510</v>
      </c>
      <c r="D36" s="46" t="s">
        <v>127</v>
      </c>
      <c r="E36" s="56" t="str">
        <f aca="false">IF(A36="","",IF(F36=0,"",_xlfn.MAXIFS(op_Fech,op_Cliente,A36,op_Status,"Ganha")))</f>
        <v/>
      </c>
      <c r="F36" s="51" t="n">
        <f aca="false">IF(A36="","",COUNTIFS(op_Cliente,A36,op_Status,"Ganha"))</f>
        <v>0</v>
      </c>
      <c r="G36" s="49" t="n">
        <f aca="false">IF(A36="","",SUMIFS(op_Valor,op_Cliente,A36,op_Status,"Ganha"))</f>
        <v>0</v>
      </c>
      <c r="H36" s="51" t="str">
        <f aca="false">IF(OR(A36="",E36=""),"",DataRef-E36)</f>
        <v/>
      </c>
      <c r="I36" s="50" t="str">
        <f aca="false">IF(A36="","",IF(F36=0,"Sem compra",IF(H36&lt;=DiasRisco,"Ativo",IF(H36&lt;=DiasInativo,"Em risco","Inativo"))))</f>
        <v>Sem compra</v>
      </c>
      <c r="J36" s="7" t="str">
        <f aca="false">IF(A36="","",IF(I36="Ativo","Manter relacionamento e oferecer upsell",IF(I36="Em risco","Contato do consultor nesta semana",IF(I36="Inativo","Campanha de reativação","Primeira abordagem comercial"))))</f>
        <v>Primeira abordagem comercial</v>
      </c>
      <c r="K36" s="57" t="n">
        <f aca="false">IF(A36="","",G36+ROW()/1000000)</f>
        <v>3.6E-005</v>
      </c>
    </row>
    <row r="37" customFormat="false" ht="15" hidden="false" customHeight="false" outlineLevel="0" collapsed="false">
      <c r="A37" s="46"/>
      <c r="B37" s="46"/>
      <c r="C37" s="46"/>
      <c r="D37" s="46"/>
      <c r="E37" s="56" t="str">
        <f aca="false">IF(A37="","",IF(F37=0,"",_xlfn.MAXIFS(op_Fech,op_Cliente,A37,op_Status,"Ganha")))</f>
        <v/>
      </c>
      <c r="F37" s="51" t="str">
        <f aca="false">IF(A37="","",COUNTIFS(op_Cliente,A37,op_Status,"Ganha"))</f>
        <v/>
      </c>
      <c r="G37" s="49" t="str">
        <f aca="false">IF(A37="","",SUMIFS(op_Valor,op_Cliente,A37,op_Status,"Ganha"))</f>
        <v/>
      </c>
      <c r="H37" s="51" t="str">
        <f aca="false">IF(OR(A37="",E37=""),"",DataRef-E37)</f>
        <v/>
      </c>
      <c r="I37" s="50" t="str">
        <f aca="false">IF(A37="","",IF(F37=0,"Sem compra",IF(H37&lt;=DiasRisco,"Ativo",IF(H37&lt;=DiasInativo,"Em risco","Inativo"))))</f>
        <v/>
      </c>
      <c r="J37" s="7" t="str">
        <f aca="false">IF(A37="","",IF(I37="Ativo","Manter relacionamento e oferecer upsell",IF(I37="Em risco","Contato do consultor nesta semana",IF(I37="Inativo","Campanha de reativação","Primeira abordagem comercial"))))</f>
        <v/>
      </c>
      <c r="K37" s="57" t="str">
        <f aca="false">IF(A37="","",G37+ROW()/1000000)</f>
        <v/>
      </c>
    </row>
    <row r="38" customFormat="false" ht="15" hidden="false" customHeight="false" outlineLevel="0" collapsed="false">
      <c r="A38" s="46"/>
      <c r="B38" s="46"/>
      <c r="C38" s="46"/>
      <c r="D38" s="46"/>
      <c r="E38" s="56" t="str">
        <f aca="false">IF(A38="","",IF(F38=0,"",_xlfn.MAXIFS(op_Fech,op_Cliente,A38,op_Status,"Ganha")))</f>
        <v/>
      </c>
      <c r="F38" s="51" t="str">
        <f aca="false">IF(A38="","",COUNTIFS(op_Cliente,A38,op_Status,"Ganha"))</f>
        <v/>
      </c>
      <c r="G38" s="49" t="str">
        <f aca="false">IF(A38="","",SUMIFS(op_Valor,op_Cliente,A38,op_Status,"Ganha"))</f>
        <v/>
      </c>
      <c r="H38" s="51" t="str">
        <f aca="false">IF(OR(A38="",E38=""),"",DataRef-E38)</f>
        <v/>
      </c>
      <c r="I38" s="50" t="str">
        <f aca="false">IF(A38="","",IF(F38=0,"Sem compra",IF(H38&lt;=DiasRisco,"Ativo",IF(H38&lt;=DiasInativo,"Em risco","Inativo"))))</f>
        <v/>
      </c>
      <c r="J38" s="7" t="str">
        <f aca="false">IF(A38="","",IF(I38="Ativo","Manter relacionamento e oferecer upsell",IF(I38="Em risco","Contato do consultor nesta semana",IF(I38="Inativo","Campanha de reativação","Primeira abordagem comercial"))))</f>
        <v/>
      </c>
      <c r="K38" s="57" t="str">
        <f aca="false">IF(A38="","",G38+ROW()/1000000)</f>
        <v/>
      </c>
    </row>
    <row r="39" customFormat="false" ht="15" hidden="false" customHeight="false" outlineLevel="0" collapsed="false">
      <c r="A39" s="46"/>
      <c r="B39" s="46"/>
      <c r="C39" s="46"/>
      <c r="D39" s="46"/>
      <c r="E39" s="56" t="str">
        <f aca="false">IF(A39="","",IF(F39=0,"",_xlfn.MAXIFS(op_Fech,op_Cliente,A39,op_Status,"Ganha")))</f>
        <v/>
      </c>
      <c r="F39" s="51" t="str">
        <f aca="false">IF(A39="","",COUNTIFS(op_Cliente,A39,op_Status,"Ganha"))</f>
        <v/>
      </c>
      <c r="G39" s="49" t="str">
        <f aca="false">IF(A39="","",SUMIFS(op_Valor,op_Cliente,A39,op_Status,"Ganha"))</f>
        <v/>
      </c>
      <c r="H39" s="51" t="str">
        <f aca="false">IF(OR(A39="",E39=""),"",DataRef-E39)</f>
        <v/>
      </c>
      <c r="I39" s="50" t="str">
        <f aca="false">IF(A39="","",IF(F39=0,"Sem compra",IF(H39&lt;=DiasRisco,"Ativo",IF(H39&lt;=DiasInativo,"Em risco","Inativo"))))</f>
        <v/>
      </c>
      <c r="J39" s="7" t="str">
        <f aca="false">IF(A39="","",IF(I39="Ativo","Manter relacionamento e oferecer upsell",IF(I39="Em risco","Contato do consultor nesta semana",IF(I39="Inativo","Campanha de reativação","Primeira abordagem comercial"))))</f>
        <v/>
      </c>
      <c r="K39" s="57" t="str">
        <f aca="false">IF(A39="","",G39+ROW()/1000000)</f>
        <v/>
      </c>
    </row>
    <row r="40" customFormat="false" ht="15" hidden="false" customHeight="false" outlineLevel="0" collapsed="false">
      <c r="A40" s="46"/>
      <c r="B40" s="46"/>
      <c r="C40" s="46"/>
      <c r="D40" s="46"/>
      <c r="E40" s="56" t="str">
        <f aca="false">IF(A40="","",IF(F40=0,"",_xlfn.MAXIFS(op_Fech,op_Cliente,A40,op_Status,"Ganha")))</f>
        <v/>
      </c>
      <c r="F40" s="51" t="str">
        <f aca="false">IF(A40="","",COUNTIFS(op_Cliente,A40,op_Status,"Ganha"))</f>
        <v/>
      </c>
      <c r="G40" s="49" t="str">
        <f aca="false">IF(A40="","",SUMIFS(op_Valor,op_Cliente,A40,op_Status,"Ganha"))</f>
        <v/>
      </c>
      <c r="H40" s="51" t="str">
        <f aca="false">IF(OR(A40="",E40=""),"",DataRef-E40)</f>
        <v/>
      </c>
      <c r="I40" s="50" t="str">
        <f aca="false">IF(A40="","",IF(F40=0,"Sem compra",IF(H40&lt;=DiasRisco,"Ativo",IF(H40&lt;=DiasInativo,"Em risco","Inativo"))))</f>
        <v/>
      </c>
      <c r="J40" s="7" t="str">
        <f aca="false">IF(A40="","",IF(I40="Ativo","Manter relacionamento e oferecer upsell",IF(I40="Em risco","Contato do consultor nesta semana",IF(I40="Inativo","Campanha de reativação","Primeira abordagem comercial"))))</f>
        <v/>
      </c>
      <c r="K40" s="57" t="str">
        <f aca="false">IF(A40="","",G40+ROW()/1000000)</f>
        <v/>
      </c>
    </row>
    <row r="41" customFormat="false" ht="15" hidden="false" customHeight="false" outlineLevel="0" collapsed="false">
      <c r="A41" s="46"/>
      <c r="B41" s="46"/>
      <c r="C41" s="46"/>
      <c r="D41" s="46"/>
      <c r="E41" s="56" t="str">
        <f aca="false">IF(A41="","",IF(F41=0,"",_xlfn.MAXIFS(op_Fech,op_Cliente,A41,op_Status,"Ganha")))</f>
        <v/>
      </c>
      <c r="F41" s="51" t="str">
        <f aca="false">IF(A41="","",COUNTIFS(op_Cliente,A41,op_Status,"Ganha"))</f>
        <v/>
      </c>
      <c r="G41" s="49" t="str">
        <f aca="false">IF(A41="","",SUMIFS(op_Valor,op_Cliente,A41,op_Status,"Ganha"))</f>
        <v/>
      </c>
      <c r="H41" s="51" t="str">
        <f aca="false">IF(OR(A41="",E41=""),"",DataRef-E41)</f>
        <v/>
      </c>
      <c r="I41" s="50" t="str">
        <f aca="false">IF(A41="","",IF(F41=0,"Sem compra",IF(H41&lt;=DiasRisco,"Ativo",IF(H41&lt;=DiasInativo,"Em risco","Inativo"))))</f>
        <v/>
      </c>
      <c r="J41" s="7" t="str">
        <f aca="false">IF(A41="","",IF(I41="Ativo","Manter relacionamento e oferecer upsell",IF(I41="Em risco","Contato do consultor nesta semana",IF(I41="Inativo","Campanha de reativação","Primeira abordagem comercial"))))</f>
        <v/>
      </c>
      <c r="K41" s="57" t="str">
        <f aca="false">IF(A41="","",G41+ROW()/1000000)</f>
        <v/>
      </c>
    </row>
    <row r="42" customFormat="false" ht="15" hidden="false" customHeight="false" outlineLevel="0" collapsed="false">
      <c r="A42" s="46"/>
      <c r="B42" s="46"/>
      <c r="C42" s="46"/>
      <c r="D42" s="46"/>
      <c r="E42" s="56" t="str">
        <f aca="false">IF(A42="","",IF(F42=0,"",_xlfn.MAXIFS(op_Fech,op_Cliente,A42,op_Status,"Ganha")))</f>
        <v/>
      </c>
      <c r="F42" s="51" t="str">
        <f aca="false">IF(A42="","",COUNTIFS(op_Cliente,A42,op_Status,"Ganha"))</f>
        <v/>
      </c>
      <c r="G42" s="49" t="str">
        <f aca="false">IF(A42="","",SUMIFS(op_Valor,op_Cliente,A42,op_Status,"Ganha"))</f>
        <v/>
      </c>
      <c r="H42" s="51" t="str">
        <f aca="false">IF(OR(A42="",E42=""),"",DataRef-E42)</f>
        <v/>
      </c>
      <c r="I42" s="50" t="str">
        <f aca="false">IF(A42="","",IF(F42=0,"Sem compra",IF(H42&lt;=DiasRisco,"Ativo",IF(H42&lt;=DiasInativo,"Em risco","Inativo"))))</f>
        <v/>
      </c>
      <c r="J42" s="7" t="str">
        <f aca="false">IF(A42="","",IF(I42="Ativo","Manter relacionamento e oferecer upsell",IF(I42="Em risco","Contato do consultor nesta semana",IF(I42="Inativo","Campanha de reativação","Primeira abordagem comercial"))))</f>
        <v/>
      </c>
      <c r="K42" s="57" t="str">
        <f aca="false">IF(A42="","",G42+ROW()/1000000)</f>
        <v/>
      </c>
    </row>
    <row r="43" customFormat="false" ht="15" hidden="false" customHeight="false" outlineLevel="0" collapsed="false">
      <c r="A43" s="46"/>
      <c r="B43" s="46"/>
      <c r="C43" s="46"/>
      <c r="D43" s="46"/>
      <c r="E43" s="56" t="str">
        <f aca="false">IF(A43="","",IF(F43=0,"",_xlfn.MAXIFS(op_Fech,op_Cliente,A43,op_Status,"Ganha")))</f>
        <v/>
      </c>
      <c r="F43" s="51" t="str">
        <f aca="false">IF(A43="","",COUNTIFS(op_Cliente,A43,op_Status,"Ganha"))</f>
        <v/>
      </c>
      <c r="G43" s="49" t="str">
        <f aca="false">IF(A43="","",SUMIFS(op_Valor,op_Cliente,A43,op_Status,"Ganha"))</f>
        <v/>
      </c>
      <c r="H43" s="51" t="str">
        <f aca="false">IF(OR(A43="",E43=""),"",DataRef-E43)</f>
        <v/>
      </c>
      <c r="I43" s="50" t="str">
        <f aca="false">IF(A43="","",IF(F43=0,"Sem compra",IF(H43&lt;=DiasRisco,"Ativo",IF(H43&lt;=DiasInativo,"Em risco","Inativo"))))</f>
        <v/>
      </c>
      <c r="J43" s="7" t="str">
        <f aca="false">IF(A43="","",IF(I43="Ativo","Manter relacionamento e oferecer upsell",IF(I43="Em risco","Contato do consultor nesta semana",IF(I43="Inativo","Campanha de reativação","Primeira abordagem comercial"))))</f>
        <v/>
      </c>
      <c r="K43" s="57" t="str">
        <f aca="false">IF(A43="","",G43+ROW()/1000000)</f>
        <v/>
      </c>
    </row>
    <row r="44" customFormat="false" ht="15" hidden="false" customHeight="false" outlineLevel="0" collapsed="false">
      <c r="A44" s="46"/>
      <c r="B44" s="46"/>
      <c r="C44" s="46"/>
      <c r="D44" s="46"/>
      <c r="E44" s="56" t="str">
        <f aca="false">IF(A44="","",IF(F44=0,"",_xlfn.MAXIFS(op_Fech,op_Cliente,A44,op_Status,"Ganha")))</f>
        <v/>
      </c>
      <c r="F44" s="51" t="str">
        <f aca="false">IF(A44="","",COUNTIFS(op_Cliente,A44,op_Status,"Ganha"))</f>
        <v/>
      </c>
      <c r="G44" s="49" t="str">
        <f aca="false">IF(A44="","",SUMIFS(op_Valor,op_Cliente,A44,op_Status,"Ganha"))</f>
        <v/>
      </c>
      <c r="H44" s="51" t="str">
        <f aca="false">IF(OR(A44="",E44=""),"",DataRef-E44)</f>
        <v/>
      </c>
      <c r="I44" s="50" t="str">
        <f aca="false">IF(A44="","",IF(F44=0,"Sem compra",IF(H44&lt;=DiasRisco,"Ativo",IF(H44&lt;=DiasInativo,"Em risco","Inativo"))))</f>
        <v/>
      </c>
      <c r="J44" s="7" t="str">
        <f aca="false">IF(A44="","",IF(I44="Ativo","Manter relacionamento e oferecer upsell",IF(I44="Em risco","Contato do consultor nesta semana",IF(I44="Inativo","Campanha de reativação","Primeira abordagem comercial"))))</f>
        <v/>
      </c>
      <c r="K44" s="57" t="str">
        <f aca="false">IF(A44="","",G44+ROW()/1000000)</f>
        <v/>
      </c>
    </row>
    <row r="45" customFormat="false" ht="15" hidden="false" customHeight="false" outlineLevel="0" collapsed="false">
      <c r="A45" s="46"/>
      <c r="B45" s="46"/>
      <c r="C45" s="46"/>
      <c r="D45" s="46"/>
      <c r="E45" s="56" t="str">
        <f aca="false">IF(A45="","",IF(F45=0,"",_xlfn.MAXIFS(op_Fech,op_Cliente,A45,op_Status,"Ganha")))</f>
        <v/>
      </c>
      <c r="F45" s="51" t="str">
        <f aca="false">IF(A45="","",COUNTIFS(op_Cliente,A45,op_Status,"Ganha"))</f>
        <v/>
      </c>
      <c r="G45" s="49" t="str">
        <f aca="false">IF(A45="","",SUMIFS(op_Valor,op_Cliente,A45,op_Status,"Ganha"))</f>
        <v/>
      </c>
      <c r="H45" s="51" t="str">
        <f aca="false">IF(OR(A45="",E45=""),"",DataRef-E45)</f>
        <v/>
      </c>
      <c r="I45" s="50" t="str">
        <f aca="false">IF(A45="","",IF(F45=0,"Sem compra",IF(H45&lt;=DiasRisco,"Ativo",IF(H45&lt;=DiasInativo,"Em risco","Inativo"))))</f>
        <v/>
      </c>
      <c r="J45" s="7" t="str">
        <f aca="false">IF(A45="","",IF(I45="Ativo","Manter relacionamento e oferecer upsell",IF(I45="Em risco","Contato do consultor nesta semana",IF(I45="Inativo","Campanha de reativação","Primeira abordagem comercial"))))</f>
        <v/>
      </c>
      <c r="K45" s="57" t="str">
        <f aca="false">IF(A45="","",G45+ROW()/1000000)</f>
        <v/>
      </c>
    </row>
    <row r="46" customFormat="false" ht="15" hidden="false" customHeight="false" outlineLevel="0" collapsed="false">
      <c r="A46" s="46"/>
      <c r="B46" s="46"/>
      <c r="C46" s="46"/>
      <c r="D46" s="46"/>
      <c r="E46" s="56" t="str">
        <f aca="false">IF(A46="","",IF(F46=0,"",_xlfn.MAXIFS(op_Fech,op_Cliente,A46,op_Status,"Ganha")))</f>
        <v/>
      </c>
      <c r="F46" s="51" t="str">
        <f aca="false">IF(A46="","",COUNTIFS(op_Cliente,A46,op_Status,"Ganha"))</f>
        <v/>
      </c>
      <c r="G46" s="49" t="str">
        <f aca="false">IF(A46="","",SUMIFS(op_Valor,op_Cliente,A46,op_Status,"Ganha"))</f>
        <v/>
      </c>
      <c r="H46" s="51" t="str">
        <f aca="false">IF(OR(A46="",E46=""),"",DataRef-E46)</f>
        <v/>
      </c>
      <c r="I46" s="50" t="str">
        <f aca="false">IF(A46="","",IF(F46=0,"Sem compra",IF(H46&lt;=DiasRisco,"Ativo",IF(H46&lt;=DiasInativo,"Em risco","Inativo"))))</f>
        <v/>
      </c>
      <c r="J46" s="7" t="str">
        <f aca="false">IF(A46="","",IF(I46="Ativo","Manter relacionamento e oferecer upsell",IF(I46="Em risco","Contato do consultor nesta semana",IF(I46="Inativo","Campanha de reativação","Primeira abordagem comercial"))))</f>
        <v/>
      </c>
      <c r="K46" s="57" t="str">
        <f aca="false">IF(A46="","",G46+ROW()/1000000)</f>
        <v/>
      </c>
    </row>
    <row r="47" customFormat="false" ht="15" hidden="false" customHeight="false" outlineLevel="0" collapsed="false">
      <c r="A47" s="46"/>
      <c r="B47" s="46"/>
      <c r="C47" s="46"/>
      <c r="D47" s="46"/>
      <c r="E47" s="56" t="str">
        <f aca="false">IF(A47="","",IF(F47=0,"",_xlfn.MAXIFS(op_Fech,op_Cliente,A47,op_Status,"Ganha")))</f>
        <v/>
      </c>
      <c r="F47" s="51" t="str">
        <f aca="false">IF(A47="","",COUNTIFS(op_Cliente,A47,op_Status,"Ganha"))</f>
        <v/>
      </c>
      <c r="G47" s="49" t="str">
        <f aca="false">IF(A47="","",SUMIFS(op_Valor,op_Cliente,A47,op_Status,"Ganha"))</f>
        <v/>
      </c>
      <c r="H47" s="51" t="str">
        <f aca="false">IF(OR(A47="",E47=""),"",DataRef-E47)</f>
        <v/>
      </c>
      <c r="I47" s="50" t="str">
        <f aca="false">IF(A47="","",IF(F47=0,"Sem compra",IF(H47&lt;=DiasRisco,"Ativo",IF(H47&lt;=DiasInativo,"Em risco","Inativo"))))</f>
        <v/>
      </c>
      <c r="J47" s="7" t="str">
        <f aca="false">IF(A47="","",IF(I47="Ativo","Manter relacionamento e oferecer upsell",IF(I47="Em risco","Contato do consultor nesta semana",IF(I47="Inativo","Campanha de reativação","Primeira abordagem comercial"))))</f>
        <v/>
      </c>
      <c r="K47" s="57" t="str">
        <f aca="false">IF(A47="","",G47+ROW()/1000000)</f>
        <v/>
      </c>
    </row>
    <row r="48" customFormat="false" ht="15" hidden="false" customHeight="false" outlineLevel="0" collapsed="false">
      <c r="A48" s="46"/>
      <c r="B48" s="46"/>
      <c r="C48" s="46"/>
      <c r="D48" s="46"/>
      <c r="E48" s="56" t="str">
        <f aca="false">IF(A48="","",IF(F48=0,"",_xlfn.MAXIFS(op_Fech,op_Cliente,A48,op_Status,"Ganha")))</f>
        <v/>
      </c>
      <c r="F48" s="51" t="str">
        <f aca="false">IF(A48="","",COUNTIFS(op_Cliente,A48,op_Status,"Ganha"))</f>
        <v/>
      </c>
      <c r="G48" s="49" t="str">
        <f aca="false">IF(A48="","",SUMIFS(op_Valor,op_Cliente,A48,op_Status,"Ganha"))</f>
        <v/>
      </c>
      <c r="H48" s="51" t="str">
        <f aca="false">IF(OR(A48="",E48=""),"",DataRef-E48)</f>
        <v/>
      </c>
      <c r="I48" s="50" t="str">
        <f aca="false">IF(A48="","",IF(F48=0,"Sem compra",IF(H48&lt;=DiasRisco,"Ativo",IF(H48&lt;=DiasInativo,"Em risco","Inativo"))))</f>
        <v/>
      </c>
      <c r="J48" s="7" t="str">
        <f aca="false">IF(A48="","",IF(I48="Ativo","Manter relacionamento e oferecer upsell",IF(I48="Em risco","Contato do consultor nesta semana",IF(I48="Inativo","Campanha de reativação","Primeira abordagem comercial"))))</f>
        <v/>
      </c>
      <c r="K48" s="57" t="str">
        <f aca="false">IF(A48="","",G48+ROW()/1000000)</f>
        <v/>
      </c>
    </row>
    <row r="49" customFormat="false" ht="15" hidden="false" customHeight="false" outlineLevel="0" collapsed="false">
      <c r="A49" s="46"/>
      <c r="B49" s="46"/>
      <c r="C49" s="46"/>
      <c r="D49" s="46"/>
      <c r="E49" s="56" t="str">
        <f aca="false">IF(A49="","",IF(F49=0,"",_xlfn.MAXIFS(op_Fech,op_Cliente,A49,op_Status,"Ganha")))</f>
        <v/>
      </c>
      <c r="F49" s="51" t="str">
        <f aca="false">IF(A49="","",COUNTIFS(op_Cliente,A49,op_Status,"Ganha"))</f>
        <v/>
      </c>
      <c r="G49" s="49" t="str">
        <f aca="false">IF(A49="","",SUMIFS(op_Valor,op_Cliente,A49,op_Status,"Ganha"))</f>
        <v/>
      </c>
      <c r="H49" s="51" t="str">
        <f aca="false">IF(OR(A49="",E49=""),"",DataRef-E49)</f>
        <v/>
      </c>
      <c r="I49" s="50" t="str">
        <f aca="false">IF(A49="","",IF(F49=0,"Sem compra",IF(H49&lt;=DiasRisco,"Ativo",IF(H49&lt;=DiasInativo,"Em risco","Inativo"))))</f>
        <v/>
      </c>
      <c r="J49" s="7" t="str">
        <f aca="false">IF(A49="","",IF(I49="Ativo","Manter relacionamento e oferecer upsell",IF(I49="Em risco","Contato do consultor nesta semana",IF(I49="Inativo","Campanha de reativação","Primeira abordagem comercial"))))</f>
        <v/>
      </c>
      <c r="K49" s="57" t="str">
        <f aca="false">IF(A49="","",G49+ROW()/1000000)</f>
        <v/>
      </c>
    </row>
    <row r="50" customFormat="false" ht="15" hidden="false" customHeight="false" outlineLevel="0" collapsed="false">
      <c r="A50" s="46"/>
      <c r="B50" s="46"/>
      <c r="C50" s="46"/>
      <c r="D50" s="46"/>
      <c r="E50" s="56" t="str">
        <f aca="false">IF(A50="","",IF(F50=0,"",_xlfn.MAXIFS(op_Fech,op_Cliente,A50,op_Status,"Ganha")))</f>
        <v/>
      </c>
      <c r="F50" s="51" t="str">
        <f aca="false">IF(A50="","",COUNTIFS(op_Cliente,A50,op_Status,"Ganha"))</f>
        <v/>
      </c>
      <c r="G50" s="49" t="str">
        <f aca="false">IF(A50="","",SUMIFS(op_Valor,op_Cliente,A50,op_Status,"Ganha"))</f>
        <v/>
      </c>
      <c r="H50" s="51" t="str">
        <f aca="false">IF(OR(A50="",E50=""),"",DataRef-E50)</f>
        <v/>
      </c>
      <c r="I50" s="50" t="str">
        <f aca="false">IF(A50="","",IF(F50=0,"Sem compra",IF(H50&lt;=DiasRisco,"Ativo",IF(H50&lt;=DiasInativo,"Em risco","Inativo"))))</f>
        <v/>
      </c>
      <c r="J50" s="7" t="str">
        <f aca="false">IF(A50="","",IF(I50="Ativo","Manter relacionamento e oferecer upsell",IF(I50="Em risco","Contato do consultor nesta semana",IF(I50="Inativo","Campanha de reativação","Primeira abordagem comercial"))))</f>
        <v/>
      </c>
      <c r="K50" s="57" t="str">
        <f aca="false">IF(A50="","",G50+ROW()/1000000)</f>
        <v/>
      </c>
    </row>
    <row r="51" customFormat="false" ht="15" hidden="false" customHeight="false" outlineLevel="0" collapsed="false">
      <c r="A51" s="46"/>
      <c r="B51" s="46"/>
      <c r="C51" s="46"/>
      <c r="D51" s="46"/>
      <c r="E51" s="56" t="str">
        <f aca="false">IF(A51="","",IF(F51=0,"",_xlfn.MAXIFS(op_Fech,op_Cliente,A51,op_Status,"Ganha")))</f>
        <v/>
      </c>
      <c r="F51" s="51" t="str">
        <f aca="false">IF(A51="","",COUNTIFS(op_Cliente,A51,op_Status,"Ganha"))</f>
        <v/>
      </c>
      <c r="G51" s="49" t="str">
        <f aca="false">IF(A51="","",SUMIFS(op_Valor,op_Cliente,A51,op_Status,"Ganha"))</f>
        <v/>
      </c>
      <c r="H51" s="51" t="str">
        <f aca="false">IF(OR(A51="",E51=""),"",DataRef-E51)</f>
        <v/>
      </c>
      <c r="I51" s="50" t="str">
        <f aca="false">IF(A51="","",IF(F51=0,"Sem compra",IF(H51&lt;=DiasRisco,"Ativo",IF(H51&lt;=DiasInativo,"Em risco","Inativo"))))</f>
        <v/>
      </c>
      <c r="J51" s="7" t="str">
        <f aca="false">IF(A51="","",IF(I51="Ativo","Manter relacionamento e oferecer upsell",IF(I51="Em risco","Contato do consultor nesta semana",IF(I51="Inativo","Campanha de reativação","Primeira abordagem comercial"))))</f>
        <v/>
      </c>
      <c r="K51" s="57" t="str">
        <f aca="false">IF(A51="","",G51+ROW()/1000000)</f>
        <v/>
      </c>
    </row>
    <row r="52" customFormat="false" ht="15" hidden="false" customHeight="false" outlineLevel="0" collapsed="false">
      <c r="A52" s="46"/>
      <c r="B52" s="46"/>
      <c r="C52" s="46"/>
      <c r="D52" s="46"/>
      <c r="E52" s="56" t="str">
        <f aca="false">IF(A52="","",IF(F52=0,"",_xlfn.MAXIFS(op_Fech,op_Cliente,A52,op_Status,"Ganha")))</f>
        <v/>
      </c>
      <c r="F52" s="51" t="str">
        <f aca="false">IF(A52="","",COUNTIFS(op_Cliente,A52,op_Status,"Ganha"))</f>
        <v/>
      </c>
      <c r="G52" s="49" t="str">
        <f aca="false">IF(A52="","",SUMIFS(op_Valor,op_Cliente,A52,op_Status,"Ganha"))</f>
        <v/>
      </c>
      <c r="H52" s="51" t="str">
        <f aca="false">IF(OR(A52="",E52=""),"",DataRef-E52)</f>
        <v/>
      </c>
      <c r="I52" s="50" t="str">
        <f aca="false">IF(A52="","",IF(F52=0,"Sem compra",IF(H52&lt;=DiasRisco,"Ativo",IF(H52&lt;=DiasInativo,"Em risco","Inativo"))))</f>
        <v/>
      </c>
      <c r="J52" s="7" t="str">
        <f aca="false">IF(A52="","",IF(I52="Ativo","Manter relacionamento e oferecer upsell",IF(I52="Em risco","Contato do consultor nesta semana",IF(I52="Inativo","Campanha de reativação","Primeira abordagem comercial"))))</f>
        <v/>
      </c>
      <c r="K52" s="57" t="str">
        <f aca="false">IF(A52="","",G52+ROW()/1000000)</f>
        <v/>
      </c>
    </row>
    <row r="53" customFormat="false" ht="15" hidden="false" customHeight="false" outlineLevel="0" collapsed="false">
      <c r="A53" s="46"/>
      <c r="B53" s="46"/>
      <c r="C53" s="46"/>
      <c r="D53" s="46"/>
      <c r="E53" s="56" t="str">
        <f aca="false">IF(A53="","",IF(F53=0,"",_xlfn.MAXIFS(op_Fech,op_Cliente,A53,op_Status,"Ganha")))</f>
        <v/>
      </c>
      <c r="F53" s="51" t="str">
        <f aca="false">IF(A53="","",COUNTIFS(op_Cliente,A53,op_Status,"Ganha"))</f>
        <v/>
      </c>
      <c r="G53" s="49" t="str">
        <f aca="false">IF(A53="","",SUMIFS(op_Valor,op_Cliente,A53,op_Status,"Ganha"))</f>
        <v/>
      </c>
      <c r="H53" s="51" t="str">
        <f aca="false">IF(OR(A53="",E53=""),"",DataRef-E53)</f>
        <v/>
      </c>
      <c r="I53" s="50" t="str">
        <f aca="false">IF(A53="","",IF(F53=0,"Sem compra",IF(H53&lt;=DiasRisco,"Ativo",IF(H53&lt;=DiasInativo,"Em risco","Inativo"))))</f>
        <v/>
      </c>
      <c r="J53" s="7" t="str">
        <f aca="false">IF(A53="","",IF(I53="Ativo","Manter relacionamento e oferecer upsell",IF(I53="Em risco","Contato do consultor nesta semana",IF(I53="Inativo","Campanha de reativação","Primeira abordagem comercial"))))</f>
        <v/>
      </c>
      <c r="K53" s="57" t="str">
        <f aca="false">IF(A53="","",G53+ROW()/1000000)</f>
        <v/>
      </c>
    </row>
    <row r="54" customFormat="false" ht="15" hidden="false" customHeight="false" outlineLevel="0" collapsed="false">
      <c r="A54" s="46"/>
      <c r="B54" s="46"/>
      <c r="C54" s="46"/>
      <c r="D54" s="46"/>
      <c r="E54" s="56" t="str">
        <f aca="false">IF(A54="","",IF(F54=0,"",_xlfn.MAXIFS(op_Fech,op_Cliente,A54,op_Status,"Ganha")))</f>
        <v/>
      </c>
      <c r="F54" s="51" t="str">
        <f aca="false">IF(A54="","",COUNTIFS(op_Cliente,A54,op_Status,"Ganha"))</f>
        <v/>
      </c>
      <c r="G54" s="49" t="str">
        <f aca="false">IF(A54="","",SUMIFS(op_Valor,op_Cliente,A54,op_Status,"Ganha"))</f>
        <v/>
      </c>
      <c r="H54" s="51" t="str">
        <f aca="false">IF(OR(A54="",E54=""),"",DataRef-E54)</f>
        <v/>
      </c>
      <c r="I54" s="50" t="str">
        <f aca="false">IF(A54="","",IF(F54=0,"Sem compra",IF(H54&lt;=DiasRisco,"Ativo",IF(H54&lt;=DiasInativo,"Em risco","Inativo"))))</f>
        <v/>
      </c>
      <c r="J54" s="7" t="str">
        <f aca="false">IF(A54="","",IF(I54="Ativo","Manter relacionamento e oferecer upsell",IF(I54="Em risco","Contato do consultor nesta semana",IF(I54="Inativo","Campanha de reativação","Primeira abordagem comercial"))))</f>
        <v/>
      </c>
      <c r="K54" s="57" t="str">
        <f aca="false">IF(A54="","",G54+ROW()/1000000)</f>
        <v/>
      </c>
    </row>
    <row r="55" customFormat="false" ht="15" hidden="false" customHeight="false" outlineLevel="0" collapsed="false">
      <c r="A55" s="46"/>
      <c r="B55" s="46"/>
      <c r="C55" s="46"/>
      <c r="D55" s="46"/>
      <c r="E55" s="56" t="str">
        <f aca="false">IF(A55="","",IF(F55=0,"",_xlfn.MAXIFS(op_Fech,op_Cliente,A55,op_Status,"Ganha")))</f>
        <v/>
      </c>
      <c r="F55" s="51" t="str">
        <f aca="false">IF(A55="","",COUNTIFS(op_Cliente,A55,op_Status,"Ganha"))</f>
        <v/>
      </c>
      <c r="G55" s="49" t="str">
        <f aca="false">IF(A55="","",SUMIFS(op_Valor,op_Cliente,A55,op_Status,"Ganha"))</f>
        <v/>
      </c>
      <c r="H55" s="51" t="str">
        <f aca="false">IF(OR(A55="",E55=""),"",DataRef-E55)</f>
        <v/>
      </c>
      <c r="I55" s="50" t="str">
        <f aca="false">IF(A55="","",IF(F55=0,"Sem compra",IF(H55&lt;=DiasRisco,"Ativo",IF(H55&lt;=DiasInativo,"Em risco","Inativo"))))</f>
        <v/>
      </c>
      <c r="J55" s="7" t="str">
        <f aca="false">IF(A55="","",IF(I55="Ativo","Manter relacionamento e oferecer upsell",IF(I55="Em risco","Contato do consultor nesta semana",IF(I55="Inativo","Campanha de reativação","Primeira abordagem comercial"))))</f>
        <v/>
      </c>
      <c r="K55" s="57" t="str">
        <f aca="false">IF(A55="","",G55+ROW()/1000000)</f>
        <v/>
      </c>
    </row>
    <row r="56" customFormat="false" ht="15" hidden="false" customHeight="false" outlineLevel="0" collapsed="false">
      <c r="A56" s="46"/>
      <c r="B56" s="46"/>
      <c r="C56" s="46"/>
      <c r="D56" s="46"/>
      <c r="E56" s="56" t="str">
        <f aca="false">IF(A56="","",IF(F56=0,"",_xlfn.MAXIFS(op_Fech,op_Cliente,A56,op_Status,"Ganha")))</f>
        <v/>
      </c>
      <c r="F56" s="51" t="str">
        <f aca="false">IF(A56="","",COUNTIFS(op_Cliente,A56,op_Status,"Ganha"))</f>
        <v/>
      </c>
      <c r="G56" s="49" t="str">
        <f aca="false">IF(A56="","",SUMIFS(op_Valor,op_Cliente,A56,op_Status,"Ganha"))</f>
        <v/>
      </c>
      <c r="H56" s="51" t="str">
        <f aca="false">IF(OR(A56="",E56=""),"",DataRef-E56)</f>
        <v/>
      </c>
      <c r="I56" s="50" t="str">
        <f aca="false">IF(A56="","",IF(F56=0,"Sem compra",IF(H56&lt;=DiasRisco,"Ativo",IF(H56&lt;=DiasInativo,"Em risco","Inativo"))))</f>
        <v/>
      </c>
      <c r="J56" s="7" t="str">
        <f aca="false">IF(A56="","",IF(I56="Ativo","Manter relacionamento e oferecer upsell",IF(I56="Em risco","Contato do consultor nesta semana",IF(I56="Inativo","Campanha de reativação","Primeira abordagem comercial"))))</f>
        <v/>
      </c>
      <c r="K56" s="57" t="str">
        <f aca="false">IF(A56="","",G56+ROW()/1000000)</f>
        <v/>
      </c>
    </row>
    <row r="57" customFormat="false" ht="15" hidden="false" customHeight="false" outlineLevel="0" collapsed="false">
      <c r="A57" s="46"/>
      <c r="B57" s="46"/>
      <c r="C57" s="46"/>
      <c r="D57" s="46"/>
      <c r="E57" s="56" t="str">
        <f aca="false">IF(A57="","",IF(F57=0,"",_xlfn.MAXIFS(op_Fech,op_Cliente,A57,op_Status,"Ganha")))</f>
        <v/>
      </c>
      <c r="F57" s="51" t="str">
        <f aca="false">IF(A57="","",COUNTIFS(op_Cliente,A57,op_Status,"Ganha"))</f>
        <v/>
      </c>
      <c r="G57" s="49" t="str">
        <f aca="false">IF(A57="","",SUMIFS(op_Valor,op_Cliente,A57,op_Status,"Ganha"))</f>
        <v/>
      </c>
      <c r="H57" s="51" t="str">
        <f aca="false">IF(OR(A57="",E57=""),"",DataRef-E57)</f>
        <v/>
      </c>
      <c r="I57" s="50" t="str">
        <f aca="false">IF(A57="","",IF(F57=0,"Sem compra",IF(H57&lt;=DiasRisco,"Ativo",IF(H57&lt;=DiasInativo,"Em risco","Inativo"))))</f>
        <v/>
      </c>
      <c r="J57" s="7" t="str">
        <f aca="false">IF(A57="","",IF(I57="Ativo","Manter relacionamento e oferecer upsell",IF(I57="Em risco","Contato do consultor nesta semana",IF(I57="Inativo","Campanha de reativação","Primeira abordagem comercial"))))</f>
        <v/>
      </c>
      <c r="K57" s="57" t="str">
        <f aca="false">IF(A57="","",G57+ROW()/1000000)</f>
        <v/>
      </c>
    </row>
    <row r="58" customFormat="false" ht="15" hidden="false" customHeight="false" outlineLevel="0" collapsed="false">
      <c r="A58" s="46"/>
      <c r="B58" s="46"/>
      <c r="C58" s="46"/>
      <c r="D58" s="46"/>
      <c r="E58" s="56" t="str">
        <f aca="false">IF(A58="","",IF(F58=0,"",_xlfn.MAXIFS(op_Fech,op_Cliente,A58,op_Status,"Ganha")))</f>
        <v/>
      </c>
      <c r="F58" s="51" t="str">
        <f aca="false">IF(A58="","",COUNTIFS(op_Cliente,A58,op_Status,"Ganha"))</f>
        <v/>
      </c>
      <c r="G58" s="49" t="str">
        <f aca="false">IF(A58="","",SUMIFS(op_Valor,op_Cliente,A58,op_Status,"Ganha"))</f>
        <v/>
      </c>
      <c r="H58" s="51" t="str">
        <f aca="false">IF(OR(A58="",E58=""),"",DataRef-E58)</f>
        <v/>
      </c>
      <c r="I58" s="50" t="str">
        <f aca="false">IF(A58="","",IF(F58=0,"Sem compra",IF(H58&lt;=DiasRisco,"Ativo",IF(H58&lt;=DiasInativo,"Em risco","Inativo"))))</f>
        <v/>
      </c>
      <c r="J58" s="7" t="str">
        <f aca="false">IF(A58="","",IF(I58="Ativo","Manter relacionamento e oferecer upsell",IF(I58="Em risco","Contato do consultor nesta semana",IF(I58="Inativo","Campanha de reativação","Primeira abordagem comercial"))))</f>
        <v/>
      </c>
      <c r="K58" s="57" t="str">
        <f aca="false">IF(A58="","",G58+ROW()/1000000)</f>
        <v/>
      </c>
    </row>
    <row r="59" customFormat="false" ht="15" hidden="false" customHeight="false" outlineLevel="0" collapsed="false">
      <c r="A59" s="46"/>
      <c r="B59" s="46"/>
      <c r="C59" s="46"/>
      <c r="D59" s="46"/>
      <c r="E59" s="56" t="str">
        <f aca="false">IF(A59="","",IF(F59=0,"",_xlfn.MAXIFS(op_Fech,op_Cliente,A59,op_Status,"Ganha")))</f>
        <v/>
      </c>
      <c r="F59" s="51" t="str">
        <f aca="false">IF(A59="","",COUNTIFS(op_Cliente,A59,op_Status,"Ganha"))</f>
        <v/>
      </c>
      <c r="G59" s="49" t="str">
        <f aca="false">IF(A59="","",SUMIFS(op_Valor,op_Cliente,A59,op_Status,"Ganha"))</f>
        <v/>
      </c>
      <c r="H59" s="51" t="str">
        <f aca="false">IF(OR(A59="",E59=""),"",DataRef-E59)</f>
        <v/>
      </c>
      <c r="I59" s="50" t="str">
        <f aca="false">IF(A59="","",IF(F59=0,"Sem compra",IF(H59&lt;=DiasRisco,"Ativo",IF(H59&lt;=DiasInativo,"Em risco","Inativo"))))</f>
        <v/>
      </c>
      <c r="J59" s="7" t="str">
        <f aca="false">IF(A59="","",IF(I59="Ativo","Manter relacionamento e oferecer upsell",IF(I59="Em risco","Contato do consultor nesta semana",IF(I59="Inativo","Campanha de reativação","Primeira abordagem comercial"))))</f>
        <v/>
      </c>
      <c r="K59" s="57" t="str">
        <f aca="false">IF(A59="","",G59+ROW()/1000000)</f>
        <v/>
      </c>
    </row>
    <row r="60" customFormat="false" ht="15" hidden="false" customHeight="false" outlineLevel="0" collapsed="false">
      <c r="A60" s="46"/>
      <c r="B60" s="46"/>
      <c r="C60" s="46"/>
      <c r="D60" s="46"/>
      <c r="E60" s="56" t="str">
        <f aca="false">IF(A60="","",IF(F60=0,"",_xlfn.MAXIFS(op_Fech,op_Cliente,A60,op_Status,"Ganha")))</f>
        <v/>
      </c>
      <c r="F60" s="51" t="str">
        <f aca="false">IF(A60="","",COUNTIFS(op_Cliente,A60,op_Status,"Ganha"))</f>
        <v/>
      </c>
      <c r="G60" s="49" t="str">
        <f aca="false">IF(A60="","",SUMIFS(op_Valor,op_Cliente,A60,op_Status,"Ganha"))</f>
        <v/>
      </c>
      <c r="H60" s="51" t="str">
        <f aca="false">IF(OR(A60="",E60=""),"",DataRef-E60)</f>
        <v/>
      </c>
      <c r="I60" s="50" t="str">
        <f aca="false">IF(A60="","",IF(F60=0,"Sem compra",IF(H60&lt;=DiasRisco,"Ativo",IF(H60&lt;=DiasInativo,"Em risco","Inativo"))))</f>
        <v/>
      </c>
      <c r="J60" s="7" t="str">
        <f aca="false">IF(A60="","",IF(I60="Ativo","Manter relacionamento e oferecer upsell",IF(I60="Em risco","Contato do consultor nesta semana",IF(I60="Inativo","Campanha de reativação","Primeira abordagem comercial"))))</f>
        <v/>
      </c>
      <c r="K60" s="57" t="str">
        <f aca="false">IF(A60="","",G60+ROW()/1000000)</f>
        <v/>
      </c>
    </row>
    <row r="61" customFormat="false" ht="15" hidden="false" customHeight="false" outlineLevel="0" collapsed="false">
      <c r="A61" s="46"/>
      <c r="B61" s="46"/>
      <c r="C61" s="46"/>
      <c r="D61" s="46"/>
      <c r="E61" s="56" t="str">
        <f aca="false">IF(A61="","",IF(F61=0,"",_xlfn.MAXIFS(op_Fech,op_Cliente,A61,op_Status,"Ganha")))</f>
        <v/>
      </c>
      <c r="F61" s="51" t="str">
        <f aca="false">IF(A61="","",COUNTIFS(op_Cliente,A61,op_Status,"Ganha"))</f>
        <v/>
      </c>
      <c r="G61" s="49" t="str">
        <f aca="false">IF(A61="","",SUMIFS(op_Valor,op_Cliente,A61,op_Status,"Ganha"))</f>
        <v/>
      </c>
      <c r="H61" s="51" t="str">
        <f aca="false">IF(OR(A61="",E61=""),"",DataRef-E61)</f>
        <v/>
      </c>
      <c r="I61" s="50" t="str">
        <f aca="false">IF(A61="","",IF(F61=0,"Sem compra",IF(H61&lt;=DiasRisco,"Ativo",IF(H61&lt;=DiasInativo,"Em risco","Inativo"))))</f>
        <v/>
      </c>
      <c r="J61" s="7" t="str">
        <f aca="false">IF(A61="","",IF(I61="Ativo","Manter relacionamento e oferecer upsell",IF(I61="Em risco","Contato do consultor nesta semana",IF(I61="Inativo","Campanha de reativação","Primeira abordagem comercial"))))</f>
        <v/>
      </c>
      <c r="K61" s="57" t="str">
        <f aca="false">IF(A61="","",G61+ROW()/1000000)</f>
        <v/>
      </c>
    </row>
    <row r="62" customFormat="false" ht="15" hidden="false" customHeight="false" outlineLevel="0" collapsed="false">
      <c r="A62" s="46"/>
      <c r="B62" s="46"/>
      <c r="C62" s="46"/>
      <c r="D62" s="46"/>
      <c r="E62" s="56" t="str">
        <f aca="false">IF(A62="","",IF(F62=0,"",_xlfn.MAXIFS(op_Fech,op_Cliente,A62,op_Status,"Ganha")))</f>
        <v/>
      </c>
      <c r="F62" s="51" t="str">
        <f aca="false">IF(A62="","",COUNTIFS(op_Cliente,A62,op_Status,"Ganha"))</f>
        <v/>
      </c>
      <c r="G62" s="49" t="str">
        <f aca="false">IF(A62="","",SUMIFS(op_Valor,op_Cliente,A62,op_Status,"Ganha"))</f>
        <v/>
      </c>
      <c r="H62" s="51" t="str">
        <f aca="false">IF(OR(A62="",E62=""),"",DataRef-E62)</f>
        <v/>
      </c>
      <c r="I62" s="50" t="str">
        <f aca="false">IF(A62="","",IF(F62=0,"Sem compra",IF(H62&lt;=DiasRisco,"Ativo",IF(H62&lt;=DiasInativo,"Em risco","Inativo"))))</f>
        <v/>
      </c>
      <c r="J62" s="7" t="str">
        <f aca="false">IF(A62="","",IF(I62="Ativo","Manter relacionamento e oferecer upsell",IF(I62="Em risco","Contato do consultor nesta semana",IF(I62="Inativo","Campanha de reativação","Primeira abordagem comercial"))))</f>
        <v/>
      </c>
      <c r="K62" s="57" t="str">
        <f aca="false">IF(A62="","",G62+ROW()/1000000)</f>
        <v/>
      </c>
    </row>
    <row r="63" customFormat="false" ht="15" hidden="false" customHeight="false" outlineLevel="0" collapsed="false">
      <c r="A63" s="46"/>
      <c r="B63" s="46"/>
      <c r="C63" s="46"/>
      <c r="D63" s="46"/>
      <c r="E63" s="56" t="str">
        <f aca="false">IF(A63="","",IF(F63=0,"",_xlfn.MAXIFS(op_Fech,op_Cliente,A63,op_Status,"Ganha")))</f>
        <v/>
      </c>
      <c r="F63" s="51" t="str">
        <f aca="false">IF(A63="","",COUNTIFS(op_Cliente,A63,op_Status,"Ganha"))</f>
        <v/>
      </c>
      <c r="G63" s="49" t="str">
        <f aca="false">IF(A63="","",SUMIFS(op_Valor,op_Cliente,A63,op_Status,"Ganha"))</f>
        <v/>
      </c>
      <c r="H63" s="51" t="str">
        <f aca="false">IF(OR(A63="",E63=""),"",DataRef-E63)</f>
        <v/>
      </c>
      <c r="I63" s="50" t="str">
        <f aca="false">IF(A63="","",IF(F63=0,"Sem compra",IF(H63&lt;=DiasRisco,"Ativo",IF(H63&lt;=DiasInativo,"Em risco","Inativo"))))</f>
        <v/>
      </c>
      <c r="J63" s="7" t="str">
        <f aca="false">IF(A63="","",IF(I63="Ativo","Manter relacionamento e oferecer upsell",IF(I63="Em risco","Contato do consultor nesta semana",IF(I63="Inativo","Campanha de reativação","Primeira abordagem comercial"))))</f>
        <v/>
      </c>
      <c r="K63" s="57" t="str">
        <f aca="false">IF(A63="","",G63+ROW()/1000000)</f>
        <v/>
      </c>
    </row>
    <row r="64" customFormat="false" ht="15" hidden="false" customHeight="false" outlineLevel="0" collapsed="false">
      <c r="A64" s="46"/>
      <c r="B64" s="46"/>
      <c r="C64" s="46"/>
      <c r="D64" s="46"/>
      <c r="E64" s="56" t="str">
        <f aca="false">IF(A64="","",IF(F64=0,"",_xlfn.MAXIFS(op_Fech,op_Cliente,A64,op_Status,"Ganha")))</f>
        <v/>
      </c>
      <c r="F64" s="51" t="str">
        <f aca="false">IF(A64="","",COUNTIFS(op_Cliente,A64,op_Status,"Ganha"))</f>
        <v/>
      </c>
      <c r="G64" s="49" t="str">
        <f aca="false">IF(A64="","",SUMIFS(op_Valor,op_Cliente,A64,op_Status,"Ganha"))</f>
        <v/>
      </c>
      <c r="H64" s="51" t="str">
        <f aca="false">IF(OR(A64="",E64=""),"",DataRef-E64)</f>
        <v/>
      </c>
      <c r="I64" s="50" t="str">
        <f aca="false">IF(A64="","",IF(F64=0,"Sem compra",IF(H64&lt;=DiasRisco,"Ativo",IF(H64&lt;=DiasInativo,"Em risco","Inativo"))))</f>
        <v/>
      </c>
      <c r="J64" s="7" t="str">
        <f aca="false">IF(A64="","",IF(I64="Ativo","Manter relacionamento e oferecer upsell",IF(I64="Em risco","Contato do consultor nesta semana",IF(I64="Inativo","Campanha de reativação","Primeira abordagem comercial"))))</f>
        <v/>
      </c>
      <c r="K64" s="57" t="str">
        <f aca="false">IF(A64="","",G64+ROW()/1000000)</f>
        <v/>
      </c>
    </row>
    <row r="65" customFormat="false" ht="15" hidden="false" customHeight="false" outlineLevel="0" collapsed="false">
      <c r="A65" s="46"/>
      <c r="B65" s="46"/>
      <c r="C65" s="46"/>
      <c r="D65" s="46"/>
      <c r="E65" s="56" t="str">
        <f aca="false">IF(A65="","",IF(F65=0,"",_xlfn.MAXIFS(op_Fech,op_Cliente,A65,op_Status,"Ganha")))</f>
        <v/>
      </c>
      <c r="F65" s="51" t="str">
        <f aca="false">IF(A65="","",COUNTIFS(op_Cliente,A65,op_Status,"Ganha"))</f>
        <v/>
      </c>
      <c r="G65" s="49" t="str">
        <f aca="false">IF(A65="","",SUMIFS(op_Valor,op_Cliente,A65,op_Status,"Ganha"))</f>
        <v/>
      </c>
      <c r="H65" s="51" t="str">
        <f aca="false">IF(OR(A65="",E65=""),"",DataRef-E65)</f>
        <v/>
      </c>
      <c r="I65" s="50" t="str">
        <f aca="false">IF(A65="","",IF(F65=0,"Sem compra",IF(H65&lt;=DiasRisco,"Ativo",IF(H65&lt;=DiasInativo,"Em risco","Inativo"))))</f>
        <v/>
      </c>
      <c r="J65" s="7" t="str">
        <f aca="false">IF(A65="","",IF(I65="Ativo","Manter relacionamento e oferecer upsell",IF(I65="Em risco","Contato do consultor nesta semana",IF(I65="Inativo","Campanha de reativação","Primeira abordagem comercial"))))</f>
        <v/>
      </c>
      <c r="K65" s="57" t="str">
        <f aca="false">IF(A65="","",G65+ROW()/1000000)</f>
        <v/>
      </c>
    </row>
    <row r="66" customFormat="false" ht="15" hidden="false" customHeight="false" outlineLevel="0" collapsed="false">
      <c r="A66" s="46"/>
      <c r="B66" s="46"/>
      <c r="C66" s="46"/>
      <c r="D66" s="46"/>
      <c r="E66" s="56" t="str">
        <f aca="false">IF(A66="","",IF(F66=0,"",_xlfn.MAXIFS(op_Fech,op_Cliente,A66,op_Status,"Ganha")))</f>
        <v/>
      </c>
      <c r="F66" s="51" t="str">
        <f aca="false">IF(A66="","",COUNTIFS(op_Cliente,A66,op_Status,"Ganha"))</f>
        <v/>
      </c>
      <c r="G66" s="49" t="str">
        <f aca="false">IF(A66="","",SUMIFS(op_Valor,op_Cliente,A66,op_Status,"Ganha"))</f>
        <v/>
      </c>
      <c r="H66" s="51" t="str">
        <f aca="false">IF(OR(A66="",E66=""),"",DataRef-E66)</f>
        <v/>
      </c>
      <c r="I66" s="50" t="str">
        <f aca="false">IF(A66="","",IF(F66=0,"Sem compra",IF(H66&lt;=DiasRisco,"Ativo",IF(H66&lt;=DiasInativo,"Em risco","Inativo"))))</f>
        <v/>
      </c>
      <c r="J66" s="7" t="str">
        <f aca="false">IF(A66="","",IF(I66="Ativo","Manter relacionamento e oferecer upsell",IF(I66="Em risco","Contato do consultor nesta semana",IF(I66="Inativo","Campanha de reativação","Primeira abordagem comercial"))))</f>
        <v/>
      </c>
      <c r="K66" s="57" t="str">
        <f aca="false">IF(A66="","",G66+ROW()/1000000)</f>
        <v/>
      </c>
    </row>
    <row r="67" customFormat="false" ht="15" hidden="false" customHeight="false" outlineLevel="0" collapsed="false">
      <c r="A67" s="46"/>
      <c r="B67" s="46"/>
      <c r="C67" s="46"/>
      <c r="D67" s="46"/>
      <c r="E67" s="56" t="str">
        <f aca="false">IF(A67="","",IF(F67=0,"",_xlfn.MAXIFS(op_Fech,op_Cliente,A67,op_Status,"Ganha")))</f>
        <v/>
      </c>
      <c r="F67" s="51" t="str">
        <f aca="false">IF(A67="","",COUNTIFS(op_Cliente,A67,op_Status,"Ganha"))</f>
        <v/>
      </c>
      <c r="G67" s="49" t="str">
        <f aca="false">IF(A67="","",SUMIFS(op_Valor,op_Cliente,A67,op_Status,"Ganha"))</f>
        <v/>
      </c>
      <c r="H67" s="51" t="str">
        <f aca="false">IF(OR(A67="",E67=""),"",DataRef-E67)</f>
        <v/>
      </c>
      <c r="I67" s="50" t="str">
        <f aca="false">IF(A67="","",IF(F67=0,"Sem compra",IF(H67&lt;=DiasRisco,"Ativo",IF(H67&lt;=DiasInativo,"Em risco","Inativo"))))</f>
        <v/>
      </c>
      <c r="J67" s="7" t="str">
        <f aca="false">IF(A67="","",IF(I67="Ativo","Manter relacionamento e oferecer upsell",IF(I67="Em risco","Contato do consultor nesta semana",IF(I67="Inativo","Campanha de reativação","Primeira abordagem comercial"))))</f>
        <v/>
      </c>
      <c r="K67" s="57" t="str">
        <f aca="false">IF(A67="","",G67+ROW()/1000000)</f>
        <v/>
      </c>
    </row>
    <row r="68" customFormat="false" ht="15" hidden="false" customHeight="false" outlineLevel="0" collapsed="false">
      <c r="A68" s="46"/>
      <c r="B68" s="46"/>
      <c r="C68" s="46"/>
      <c r="D68" s="46"/>
      <c r="E68" s="56" t="str">
        <f aca="false">IF(A68="","",IF(F68=0,"",_xlfn.MAXIFS(op_Fech,op_Cliente,A68,op_Status,"Ganha")))</f>
        <v/>
      </c>
      <c r="F68" s="51" t="str">
        <f aca="false">IF(A68="","",COUNTIFS(op_Cliente,A68,op_Status,"Ganha"))</f>
        <v/>
      </c>
      <c r="G68" s="49" t="str">
        <f aca="false">IF(A68="","",SUMIFS(op_Valor,op_Cliente,A68,op_Status,"Ganha"))</f>
        <v/>
      </c>
      <c r="H68" s="51" t="str">
        <f aca="false">IF(OR(A68="",E68=""),"",DataRef-E68)</f>
        <v/>
      </c>
      <c r="I68" s="50" t="str">
        <f aca="false">IF(A68="","",IF(F68=0,"Sem compra",IF(H68&lt;=DiasRisco,"Ativo",IF(H68&lt;=DiasInativo,"Em risco","Inativo"))))</f>
        <v/>
      </c>
      <c r="J68" s="7" t="str">
        <f aca="false">IF(A68="","",IF(I68="Ativo","Manter relacionamento e oferecer upsell",IF(I68="Em risco","Contato do consultor nesta semana",IF(I68="Inativo","Campanha de reativação","Primeira abordagem comercial"))))</f>
        <v/>
      </c>
      <c r="K68" s="57" t="str">
        <f aca="false">IF(A68="","",G68+ROW()/1000000)</f>
        <v/>
      </c>
    </row>
    <row r="69" customFormat="false" ht="15" hidden="false" customHeight="false" outlineLevel="0" collapsed="false">
      <c r="A69" s="46"/>
      <c r="B69" s="46"/>
      <c r="C69" s="46"/>
      <c r="D69" s="46"/>
      <c r="E69" s="56" t="str">
        <f aca="false">IF(A69="","",IF(F69=0,"",_xlfn.MAXIFS(op_Fech,op_Cliente,A69,op_Status,"Ganha")))</f>
        <v/>
      </c>
      <c r="F69" s="51" t="str">
        <f aca="false">IF(A69="","",COUNTIFS(op_Cliente,A69,op_Status,"Ganha"))</f>
        <v/>
      </c>
      <c r="G69" s="49" t="str">
        <f aca="false">IF(A69="","",SUMIFS(op_Valor,op_Cliente,A69,op_Status,"Ganha"))</f>
        <v/>
      </c>
      <c r="H69" s="51" t="str">
        <f aca="false">IF(OR(A69="",E69=""),"",DataRef-E69)</f>
        <v/>
      </c>
      <c r="I69" s="50" t="str">
        <f aca="false">IF(A69="","",IF(F69=0,"Sem compra",IF(H69&lt;=DiasRisco,"Ativo",IF(H69&lt;=DiasInativo,"Em risco","Inativo"))))</f>
        <v/>
      </c>
      <c r="J69" s="7" t="str">
        <f aca="false">IF(A69="","",IF(I69="Ativo","Manter relacionamento e oferecer upsell",IF(I69="Em risco","Contato do consultor nesta semana",IF(I69="Inativo","Campanha de reativação","Primeira abordagem comercial"))))</f>
        <v/>
      </c>
      <c r="K69" s="57" t="str">
        <f aca="false">IF(A69="","",G69+ROW()/1000000)</f>
        <v/>
      </c>
    </row>
    <row r="70" customFormat="false" ht="15" hidden="false" customHeight="false" outlineLevel="0" collapsed="false">
      <c r="A70" s="46"/>
      <c r="B70" s="46"/>
      <c r="C70" s="46"/>
      <c r="D70" s="46"/>
      <c r="E70" s="56" t="str">
        <f aca="false">IF(A70="","",IF(F70=0,"",_xlfn.MAXIFS(op_Fech,op_Cliente,A70,op_Status,"Ganha")))</f>
        <v/>
      </c>
      <c r="F70" s="51" t="str">
        <f aca="false">IF(A70="","",COUNTIFS(op_Cliente,A70,op_Status,"Ganha"))</f>
        <v/>
      </c>
      <c r="G70" s="49" t="str">
        <f aca="false">IF(A70="","",SUMIFS(op_Valor,op_Cliente,A70,op_Status,"Ganha"))</f>
        <v/>
      </c>
      <c r="H70" s="51" t="str">
        <f aca="false">IF(OR(A70="",E70=""),"",DataRef-E70)</f>
        <v/>
      </c>
      <c r="I70" s="50" t="str">
        <f aca="false">IF(A70="","",IF(F70=0,"Sem compra",IF(H70&lt;=DiasRisco,"Ativo",IF(H70&lt;=DiasInativo,"Em risco","Inativo"))))</f>
        <v/>
      </c>
      <c r="J70" s="7" t="str">
        <f aca="false">IF(A70="","",IF(I70="Ativo","Manter relacionamento e oferecer upsell",IF(I70="Em risco","Contato do consultor nesta semana",IF(I70="Inativo","Campanha de reativação","Primeira abordagem comercial"))))</f>
        <v/>
      </c>
      <c r="K70" s="57" t="str">
        <f aca="false">IF(A70="","",G70+ROW()/1000000)</f>
        <v/>
      </c>
    </row>
    <row r="71" customFormat="false" ht="15" hidden="false" customHeight="false" outlineLevel="0" collapsed="false">
      <c r="A71" s="46"/>
      <c r="B71" s="46"/>
      <c r="C71" s="46"/>
      <c r="D71" s="46"/>
      <c r="E71" s="56" t="str">
        <f aca="false">IF(A71="","",IF(F71=0,"",_xlfn.MAXIFS(op_Fech,op_Cliente,A71,op_Status,"Ganha")))</f>
        <v/>
      </c>
      <c r="F71" s="51" t="str">
        <f aca="false">IF(A71="","",COUNTIFS(op_Cliente,A71,op_Status,"Ganha"))</f>
        <v/>
      </c>
      <c r="G71" s="49" t="str">
        <f aca="false">IF(A71="","",SUMIFS(op_Valor,op_Cliente,A71,op_Status,"Ganha"))</f>
        <v/>
      </c>
      <c r="H71" s="51" t="str">
        <f aca="false">IF(OR(A71="",E71=""),"",DataRef-E71)</f>
        <v/>
      </c>
      <c r="I71" s="50" t="str">
        <f aca="false">IF(A71="","",IF(F71=0,"Sem compra",IF(H71&lt;=DiasRisco,"Ativo",IF(H71&lt;=DiasInativo,"Em risco","Inativo"))))</f>
        <v/>
      </c>
      <c r="J71" s="7" t="str">
        <f aca="false">IF(A71="","",IF(I71="Ativo","Manter relacionamento e oferecer upsell",IF(I71="Em risco","Contato do consultor nesta semana",IF(I71="Inativo","Campanha de reativação","Primeira abordagem comercial"))))</f>
        <v/>
      </c>
      <c r="K71" s="57" t="str">
        <f aca="false">IF(A71="","",G71+ROW()/1000000)</f>
        <v/>
      </c>
    </row>
    <row r="72" customFormat="false" ht="15" hidden="false" customHeight="false" outlineLevel="0" collapsed="false">
      <c r="A72" s="46"/>
      <c r="B72" s="46"/>
      <c r="C72" s="46"/>
      <c r="D72" s="46"/>
      <c r="E72" s="56" t="str">
        <f aca="false">IF(A72="","",IF(F72=0,"",_xlfn.MAXIFS(op_Fech,op_Cliente,A72,op_Status,"Ganha")))</f>
        <v/>
      </c>
      <c r="F72" s="51" t="str">
        <f aca="false">IF(A72="","",COUNTIFS(op_Cliente,A72,op_Status,"Ganha"))</f>
        <v/>
      </c>
      <c r="G72" s="49" t="str">
        <f aca="false">IF(A72="","",SUMIFS(op_Valor,op_Cliente,A72,op_Status,"Ganha"))</f>
        <v/>
      </c>
      <c r="H72" s="51" t="str">
        <f aca="false">IF(OR(A72="",E72=""),"",DataRef-E72)</f>
        <v/>
      </c>
      <c r="I72" s="50" t="str">
        <f aca="false">IF(A72="","",IF(F72=0,"Sem compra",IF(H72&lt;=DiasRisco,"Ativo",IF(H72&lt;=DiasInativo,"Em risco","Inativo"))))</f>
        <v/>
      </c>
      <c r="J72" s="7" t="str">
        <f aca="false">IF(A72="","",IF(I72="Ativo","Manter relacionamento e oferecer upsell",IF(I72="Em risco","Contato do consultor nesta semana",IF(I72="Inativo","Campanha de reativação","Primeira abordagem comercial"))))</f>
        <v/>
      </c>
      <c r="K72" s="57" t="str">
        <f aca="false">IF(A72="","",G72+ROW()/1000000)</f>
        <v/>
      </c>
    </row>
    <row r="73" customFormat="false" ht="15" hidden="false" customHeight="false" outlineLevel="0" collapsed="false">
      <c r="A73" s="46"/>
      <c r="B73" s="46"/>
      <c r="C73" s="46"/>
      <c r="D73" s="46"/>
      <c r="E73" s="56" t="str">
        <f aca="false">IF(A73="","",IF(F73=0,"",_xlfn.MAXIFS(op_Fech,op_Cliente,A73,op_Status,"Ganha")))</f>
        <v/>
      </c>
      <c r="F73" s="51" t="str">
        <f aca="false">IF(A73="","",COUNTIFS(op_Cliente,A73,op_Status,"Ganha"))</f>
        <v/>
      </c>
      <c r="G73" s="49" t="str">
        <f aca="false">IF(A73="","",SUMIFS(op_Valor,op_Cliente,A73,op_Status,"Ganha"))</f>
        <v/>
      </c>
      <c r="H73" s="51" t="str">
        <f aca="false">IF(OR(A73="",E73=""),"",DataRef-E73)</f>
        <v/>
      </c>
      <c r="I73" s="50" t="str">
        <f aca="false">IF(A73="","",IF(F73=0,"Sem compra",IF(H73&lt;=DiasRisco,"Ativo",IF(H73&lt;=DiasInativo,"Em risco","Inativo"))))</f>
        <v/>
      </c>
      <c r="J73" s="7" t="str">
        <f aca="false">IF(A73="","",IF(I73="Ativo","Manter relacionamento e oferecer upsell",IF(I73="Em risco","Contato do consultor nesta semana",IF(I73="Inativo","Campanha de reativação","Primeira abordagem comercial"))))</f>
        <v/>
      </c>
      <c r="K73" s="57" t="str">
        <f aca="false">IF(A73="","",G73+ROW()/1000000)</f>
        <v/>
      </c>
    </row>
    <row r="74" customFormat="false" ht="15" hidden="false" customHeight="false" outlineLevel="0" collapsed="false">
      <c r="A74" s="46"/>
      <c r="B74" s="46"/>
      <c r="C74" s="46"/>
      <c r="D74" s="46"/>
      <c r="E74" s="56" t="str">
        <f aca="false">IF(A74="","",IF(F74=0,"",_xlfn.MAXIFS(op_Fech,op_Cliente,A74,op_Status,"Ganha")))</f>
        <v/>
      </c>
      <c r="F74" s="51" t="str">
        <f aca="false">IF(A74="","",COUNTIFS(op_Cliente,A74,op_Status,"Ganha"))</f>
        <v/>
      </c>
      <c r="G74" s="49" t="str">
        <f aca="false">IF(A74="","",SUMIFS(op_Valor,op_Cliente,A74,op_Status,"Ganha"))</f>
        <v/>
      </c>
      <c r="H74" s="51" t="str">
        <f aca="false">IF(OR(A74="",E74=""),"",DataRef-E74)</f>
        <v/>
      </c>
      <c r="I74" s="50" t="str">
        <f aca="false">IF(A74="","",IF(F74=0,"Sem compra",IF(H74&lt;=DiasRisco,"Ativo",IF(H74&lt;=DiasInativo,"Em risco","Inativo"))))</f>
        <v/>
      </c>
      <c r="J74" s="7" t="str">
        <f aca="false">IF(A74="","",IF(I74="Ativo","Manter relacionamento e oferecer upsell",IF(I74="Em risco","Contato do consultor nesta semana",IF(I74="Inativo","Campanha de reativação","Primeira abordagem comercial"))))</f>
        <v/>
      </c>
      <c r="K74" s="57" t="str">
        <f aca="false">IF(A74="","",G74+ROW()/1000000)</f>
        <v/>
      </c>
    </row>
    <row r="75" customFormat="false" ht="15" hidden="false" customHeight="false" outlineLevel="0" collapsed="false">
      <c r="A75" s="46"/>
      <c r="B75" s="46"/>
      <c r="C75" s="46"/>
      <c r="D75" s="46"/>
      <c r="E75" s="56" t="str">
        <f aca="false">IF(A75="","",IF(F75=0,"",_xlfn.MAXIFS(op_Fech,op_Cliente,A75,op_Status,"Ganha")))</f>
        <v/>
      </c>
      <c r="F75" s="51" t="str">
        <f aca="false">IF(A75="","",COUNTIFS(op_Cliente,A75,op_Status,"Ganha"))</f>
        <v/>
      </c>
      <c r="G75" s="49" t="str">
        <f aca="false">IF(A75="","",SUMIFS(op_Valor,op_Cliente,A75,op_Status,"Ganha"))</f>
        <v/>
      </c>
      <c r="H75" s="51" t="str">
        <f aca="false">IF(OR(A75="",E75=""),"",DataRef-E75)</f>
        <v/>
      </c>
      <c r="I75" s="50" t="str">
        <f aca="false">IF(A75="","",IF(F75=0,"Sem compra",IF(H75&lt;=DiasRisco,"Ativo",IF(H75&lt;=DiasInativo,"Em risco","Inativo"))))</f>
        <v/>
      </c>
      <c r="J75" s="7" t="str">
        <f aca="false">IF(A75="","",IF(I75="Ativo","Manter relacionamento e oferecer upsell",IF(I75="Em risco","Contato do consultor nesta semana",IF(I75="Inativo","Campanha de reativação","Primeira abordagem comercial"))))</f>
        <v/>
      </c>
      <c r="K75" s="57" t="str">
        <f aca="false">IF(A75="","",G75+ROW()/1000000)</f>
        <v/>
      </c>
    </row>
    <row r="76" customFormat="false" ht="15" hidden="false" customHeight="false" outlineLevel="0" collapsed="false">
      <c r="A76" s="46"/>
      <c r="B76" s="46"/>
      <c r="C76" s="46"/>
      <c r="D76" s="46"/>
      <c r="E76" s="56" t="str">
        <f aca="false">IF(A76="","",IF(F76=0,"",_xlfn.MAXIFS(op_Fech,op_Cliente,A76,op_Status,"Ganha")))</f>
        <v/>
      </c>
      <c r="F76" s="51" t="str">
        <f aca="false">IF(A76="","",COUNTIFS(op_Cliente,A76,op_Status,"Ganha"))</f>
        <v/>
      </c>
      <c r="G76" s="49" t="str">
        <f aca="false">IF(A76="","",SUMIFS(op_Valor,op_Cliente,A76,op_Status,"Ganha"))</f>
        <v/>
      </c>
      <c r="H76" s="51" t="str">
        <f aca="false">IF(OR(A76="",E76=""),"",DataRef-E76)</f>
        <v/>
      </c>
      <c r="I76" s="50" t="str">
        <f aca="false">IF(A76="","",IF(F76=0,"Sem compra",IF(H76&lt;=DiasRisco,"Ativo",IF(H76&lt;=DiasInativo,"Em risco","Inativo"))))</f>
        <v/>
      </c>
      <c r="J76" s="7" t="str">
        <f aca="false">IF(A76="","",IF(I76="Ativo","Manter relacionamento e oferecer upsell",IF(I76="Em risco","Contato do consultor nesta semana",IF(I76="Inativo","Campanha de reativação","Primeira abordagem comercial"))))</f>
        <v/>
      </c>
      <c r="K76" s="57" t="str">
        <f aca="false">IF(A76="","",G76+ROW()/1000000)</f>
        <v/>
      </c>
    </row>
    <row r="77" customFormat="false" ht="15" hidden="false" customHeight="false" outlineLevel="0" collapsed="false">
      <c r="A77" s="46"/>
      <c r="B77" s="46"/>
      <c r="C77" s="46"/>
      <c r="D77" s="46"/>
      <c r="E77" s="56" t="str">
        <f aca="false">IF(A77="","",IF(F77=0,"",_xlfn.MAXIFS(op_Fech,op_Cliente,A77,op_Status,"Ganha")))</f>
        <v/>
      </c>
      <c r="F77" s="51" t="str">
        <f aca="false">IF(A77="","",COUNTIFS(op_Cliente,A77,op_Status,"Ganha"))</f>
        <v/>
      </c>
      <c r="G77" s="49" t="str">
        <f aca="false">IF(A77="","",SUMIFS(op_Valor,op_Cliente,A77,op_Status,"Ganha"))</f>
        <v/>
      </c>
      <c r="H77" s="51" t="str">
        <f aca="false">IF(OR(A77="",E77=""),"",DataRef-E77)</f>
        <v/>
      </c>
      <c r="I77" s="50" t="str">
        <f aca="false">IF(A77="","",IF(F77=0,"Sem compra",IF(H77&lt;=DiasRisco,"Ativo",IF(H77&lt;=DiasInativo,"Em risco","Inativo"))))</f>
        <v/>
      </c>
      <c r="J77" s="7" t="str">
        <f aca="false">IF(A77="","",IF(I77="Ativo","Manter relacionamento e oferecer upsell",IF(I77="Em risco","Contato do consultor nesta semana",IF(I77="Inativo","Campanha de reativação","Primeira abordagem comercial"))))</f>
        <v/>
      </c>
      <c r="K77" s="57" t="str">
        <f aca="false">IF(A77="","",G77+ROW()/1000000)</f>
        <v/>
      </c>
    </row>
    <row r="78" customFormat="false" ht="15" hidden="false" customHeight="false" outlineLevel="0" collapsed="false">
      <c r="A78" s="46"/>
      <c r="B78" s="46"/>
      <c r="C78" s="46"/>
      <c r="D78" s="46"/>
      <c r="E78" s="56" t="str">
        <f aca="false">IF(A78="","",IF(F78=0,"",_xlfn.MAXIFS(op_Fech,op_Cliente,A78,op_Status,"Ganha")))</f>
        <v/>
      </c>
      <c r="F78" s="51" t="str">
        <f aca="false">IF(A78="","",COUNTIFS(op_Cliente,A78,op_Status,"Ganha"))</f>
        <v/>
      </c>
      <c r="G78" s="49" t="str">
        <f aca="false">IF(A78="","",SUMIFS(op_Valor,op_Cliente,A78,op_Status,"Ganha"))</f>
        <v/>
      </c>
      <c r="H78" s="51" t="str">
        <f aca="false">IF(OR(A78="",E78=""),"",DataRef-E78)</f>
        <v/>
      </c>
      <c r="I78" s="50" t="str">
        <f aca="false">IF(A78="","",IF(F78=0,"Sem compra",IF(H78&lt;=DiasRisco,"Ativo",IF(H78&lt;=DiasInativo,"Em risco","Inativo"))))</f>
        <v/>
      </c>
      <c r="J78" s="7" t="str">
        <f aca="false">IF(A78="","",IF(I78="Ativo","Manter relacionamento e oferecer upsell",IF(I78="Em risco","Contato do consultor nesta semana",IF(I78="Inativo","Campanha de reativação","Primeira abordagem comercial"))))</f>
        <v/>
      </c>
      <c r="K78" s="57" t="str">
        <f aca="false">IF(A78="","",G78+ROW()/1000000)</f>
        <v/>
      </c>
    </row>
    <row r="79" customFormat="false" ht="15" hidden="false" customHeight="false" outlineLevel="0" collapsed="false">
      <c r="A79" s="46"/>
      <c r="B79" s="46"/>
      <c r="C79" s="46"/>
      <c r="D79" s="46"/>
      <c r="E79" s="56" t="str">
        <f aca="false">IF(A79="","",IF(F79=0,"",_xlfn.MAXIFS(op_Fech,op_Cliente,A79,op_Status,"Ganha")))</f>
        <v/>
      </c>
      <c r="F79" s="51" t="str">
        <f aca="false">IF(A79="","",COUNTIFS(op_Cliente,A79,op_Status,"Ganha"))</f>
        <v/>
      </c>
      <c r="G79" s="49" t="str">
        <f aca="false">IF(A79="","",SUMIFS(op_Valor,op_Cliente,A79,op_Status,"Ganha"))</f>
        <v/>
      </c>
      <c r="H79" s="51" t="str">
        <f aca="false">IF(OR(A79="",E79=""),"",DataRef-E79)</f>
        <v/>
      </c>
      <c r="I79" s="50" t="str">
        <f aca="false">IF(A79="","",IF(F79=0,"Sem compra",IF(H79&lt;=DiasRisco,"Ativo",IF(H79&lt;=DiasInativo,"Em risco","Inativo"))))</f>
        <v/>
      </c>
      <c r="J79" s="7" t="str">
        <f aca="false">IF(A79="","",IF(I79="Ativo","Manter relacionamento e oferecer upsell",IF(I79="Em risco","Contato do consultor nesta semana",IF(I79="Inativo","Campanha de reativação","Primeira abordagem comercial"))))</f>
        <v/>
      </c>
      <c r="K79" s="57" t="str">
        <f aca="false">IF(A79="","",G79+ROW()/1000000)</f>
        <v/>
      </c>
    </row>
    <row r="80" customFormat="false" ht="15" hidden="false" customHeight="false" outlineLevel="0" collapsed="false">
      <c r="A80" s="46"/>
      <c r="B80" s="46"/>
      <c r="C80" s="46"/>
      <c r="D80" s="46"/>
      <c r="E80" s="56" t="str">
        <f aca="false">IF(A80="","",IF(F80=0,"",_xlfn.MAXIFS(op_Fech,op_Cliente,A80,op_Status,"Ganha")))</f>
        <v/>
      </c>
      <c r="F80" s="51" t="str">
        <f aca="false">IF(A80="","",COUNTIFS(op_Cliente,A80,op_Status,"Ganha"))</f>
        <v/>
      </c>
      <c r="G80" s="49" t="str">
        <f aca="false">IF(A80="","",SUMIFS(op_Valor,op_Cliente,A80,op_Status,"Ganha"))</f>
        <v/>
      </c>
      <c r="H80" s="51" t="str">
        <f aca="false">IF(OR(A80="",E80=""),"",DataRef-E80)</f>
        <v/>
      </c>
      <c r="I80" s="50" t="str">
        <f aca="false">IF(A80="","",IF(F80=0,"Sem compra",IF(H80&lt;=DiasRisco,"Ativo",IF(H80&lt;=DiasInativo,"Em risco","Inativo"))))</f>
        <v/>
      </c>
      <c r="J80" s="7" t="str">
        <f aca="false">IF(A80="","",IF(I80="Ativo","Manter relacionamento e oferecer upsell",IF(I80="Em risco","Contato do consultor nesta semana",IF(I80="Inativo","Campanha de reativação","Primeira abordagem comercial"))))</f>
        <v/>
      </c>
      <c r="K80" s="57" t="str">
        <f aca="false">IF(A80="","",G80+ROW()/1000000)</f>
        <v/>
      </c>
    </row>
    <row r="81" customFormat="false" ht="15" hidden="false" customHeight="false" outlineLevel="0" collapsed="false">
      <c r="A81" s="46"/>
      <c r="B81" s="46"/>
      <c r="C81" s="46"/>
      <c r="D81" s="46"/>
      <c r="E81" s="56" t="str">
        <f aca="false">IF(A81="","",IF(F81=0,"",_xlfn.MAXIFS(op_Fech,op_Cliente,A81,op_Status,"Ganha")))</f>
        <v/>
      </c>
      <c r="F81" s="51" t="str">
        <f aca="false">IF(A81="","",COUNTIFS(op_Cliente,A81,op_Status,"Ganha"))</f>
        <v/>
      </c>
      <c r="G81" s="49" t="str">
        <f aca="false">IF(A81="","",SUMIFS(op_Valor,op_Cliente,A81,op_Status,"Ganha"))</f>
        <v/>
      </c>
      <c r="H81" s="51" t="str">
        <f aca="false">IF(OR(A81="",E81=""),"",DataRef-E81)</f>
        <v/>
      </c>
      <c r="I81" s="50" t="str">
        <f aca="false">IF(A81="","",IF(F81=0,"Sem compra",IF(H81&lt;=DiasRisco,"Ativo",IF(H81&lt;=DiasInativo,"Em risco","Inativo"))))</f>
        <v/>
      </c>
      <c r="J81" s="7" t="str">
        <f aca="false">IF(A81="","",IF(I81="Ativo","Manter relacionamento e oferecer upsell",IF(I81="Em risco","Contato do consultor nesta semana",IF(I81="Inativo","Campanha de reativação","Primeira abordagem comercial"))))</f>
        <v/>
      </c>
      <c r="K81" s="57" t="str">
        <f aca="false">IF(A81="","",G81+ROW()/1000000)</f>
        <v/>
      </c>
    </row>
    <row r="82" customFormat="false" ht="15" hidden="false" customHeight="false" outlineLevel="0" collapsed="false">
      <c r="A82" s="46"/>
      <c r="B82" s="46"/>
      <c r="C82" s="46"/>
      <c r="D82" s="46"/>
      <c r="E82" s="56" t="str">
        <f aca="false">IF(A82="","",IF(F82=0,"",_xlfn.MAXIFS(op_Fech,op_Cliente,A82,op_Status,"Ganha")))</f>
        <v/>
      </c>
      <c r="F82" s="51" t="str">
        <f aca="false">IF(A82="","",COUNTIFS(op_Cliente,A82,op_Status,"Ganha"))</f>
        <v/>
      </c>
      <c r="G82" s="49" t="str">
        <f aca="false">IF(A82="","",SUMIFS(op_Valor,op_Cliente,A82,op_Status,"Ganha"))</f>
        <v/>
      </c>
      <c r="H82" s="51" t="str">
        <f aca="false">IF(OR(A82="",E82=""),"",DataRef-E82)</f>
        <v/>
      </c>
      <c r="I82" s="50" t="str">
        <f aca="false">IF(A82="","",IF(F82=0,"Sem compra",IF(H82&lt;=DiasRisco,"Ativo",IF(H82&lt;=DiasInativo,"Em risco","Inativo"))))</f>
        <v/>
      </c>
      <c r="J82" s="7" t="str">
        <f aca="false">IF(A82="","",IF(I82="Ativo","Manter relacionamento e oferecer upsell",IF(I82="Em risco","Contato do consultor nesta semana",IF(I82="Inativo","Campanha de reativação","Primeira abordagem comercial"))))</f>
        <v/>
      </c>
      <c r="K82" s="57" t="str">
        <f aca="false">IF(A82="","",G82+ROW()/1000000)</f>
        <v/>
      </c>
    </row>
    <row r="83" customFormat="false" ht="15" hidden="false" customHeight="false" outlineLevel="0" collapsed="false">
      <c r="A83" s="46"/>
      <c r="B83" s="46"/>
      <c r="C83" s="46"/>
      <c r="D83" s="46"/>
      <c r="E83" s="56" t="str">
        <f aca="false">IF(A83="","",IF(F83=0,"",_xlfn.MAXIFS(op_Fech,op_Cliente,A83,op_Status,"Ganha")))</f>
        <v/>
      </c>
      <c r="F83" s="51" t="str">
        <f aca="false">IF(A83="","",COUNTIFS(op_Cliente,A83,op_Status,"Ganha"))</f>
        <v/>
      </c>
      <c r="G83" s="49" t="str">
        <f aca="false">IF(A83="","",SUMIFS(op_Valor,op_Cliente,A83,op_Status,"Ganha"))</f>
        <v/>
      </c>
      <c r="H83" s="51" t="str">
        <f aca="false">IF(OR(A83="",E83=""),"",DataRef-E83)</f>
        <v/>
      </c>
      <c r="I83" s="50" t="str">
        <f aca="false">IF(A83="","",IF(F83=0,"Sem compra",IF(H83&lt;=DiasRisco,"Ativo",IF(H83&lt;=DiasInativo,"Em risco","Inativo"))))</f>
        <v/>
      </c>
      <c r="J83" s="7" t="str">
        <f aca="false">IF(A83="","",IF(I83="Ativo","Manter relacionamento e oferecer upsell",IF(I83="Em risco","Contato do consultor nesta semana",IF(I83="Inativo","Campanha de reativação","Primeira abordagem comercial"))))</f>
        <v/>
      </c>
      <c r="K83" s="57" t="str">
        <f aca="false">IF(A83="","",G83+ROW()/1000000)</f>
        <v/>
      </c>
    </row>
    <row r="84" customFormat="false" ht="15" hidden="false" customHeight="false" outlineLevel="0" collapsed="false">
      <c r="A84" s="46"/>
      <c r="B84" s="46"/>
      <c r="C84" s="46"/>
      <c r="D84" s="46"/>
      <c r="E84" s="56" t="str">
        <f aca="false">IF(A84="","",IF(F84=0,"",_xlfn.MAXIFS(op_Fech,op_Cliente,A84,op_Status,"Ganha")))</f>
        <v/>
      </c>
      <c r="F84" s="51" t="str">
        <f aca="false">IF(A84="","",COUNTIFS(op_Cliente,A84,op_Status,"Ganha"))</f>
        <v/>
      </c>
      <c r="G84" s="49" t="str">
        <f aca="false">IF(A84="","",SUMIFS(op_Valor,op_Cliente,A84,op_Status,"Ganha"))</f>
        <v/>
      </c>
      <c r="H84" s="51" t="str">
        <f aca="false">IF(OR(A84="",E84=""),"",DataRef-E84)</f>
        <v/>
      </c>
      <c r="I84" s="50" t="str">
        <f aca="false">IF(A84="","",IF(F84=0,"Sem compra",IF(H84&lt;=DiasRisco,"Ativo",IF(H84&lt;=DiasInativo,"Em risco","Inativo"))))</f>
        <v/>
      </c>
      <c r="J84" s="7" t="str">
        <f aca="false">IF(A84="","",IF(I84="Ativo","Manter relacionamento e oferecer upsell",IF(I84="Em risco","Contato do consultor nesta semana",IF(I84="Inativo","Campanha de reativação","Primeira abordagem comercial"))))</f>
        <v/>
      </c>
      <c r="K84" s="57" t="str">
        <f aca="false">IF(A84="","",G84+ROW()/1000000)</f>
        <v/>
      </c>
    </row>
    <row r="85" customFormat="false" ht="15" hidden="false" customHeight="false" outlineLevel="0" collapsed="false">
      <c r="A85" s="46"/>
      <c r="B85" s="46"/>
      <c r="C85" s="46"/>
      <c r="D85" s="46"/>
      <c r="E85" s="56" t="str">
        <f aca="false">IF(A85="","",IF(F85=0,"",_xlfn.MAXIFS(op_Fech,op_Cliente,A85,op_Status,"Ganha")))</f>
        <v/>
      </c>
      <c r="F85" s="51" t="str">
        <f aca="false">IF(A85="","",COUNTIFS(op_Cliente,A85,op_Status,"Ganha"))</f>
        <v/>
      </c>
      <c r="G85" s="49" t="str">
        <f aca="false">IF(A85="","",SUMIFS(op_Valor,op_Cliente,A85,op_Status,"Ganha"))</f>
        <v/>
      </c>
      <c r="H85" s="51" t="str">
        <f aca="false">IF(OR(A85="",E85=""),"",DataRef-E85)</f>
        <v/>
      </c>
      <c r="I85" s="50" t="str">
        <f aca="false">IF(A85="","",IF(F85=0,"Sem compra",IF(H85&lt;=DiasRisco,"Ativo",IF(H85&lt;=DiasInativo,"Em risco","Inativo"))))</f>
        <v/>
      </c>
      <c r="J85" s="7" t="str">
        <f aca="false">IF(A85="","",IF(I85="Ativo","Manter relacionamento e oferecer upsell",IF(I85="Em risco","Contato do consultor nesta semana",IF(I85="Inativo","Campanha de reativação","Primeira abordagem comercial"))))</f>
        <v/>
      </c>
      <c r="K85" s="57" t="str">
        <f aca="false">IF(A85="","",G85+ROW()/1000000)</f>
        <v/>
      </c>
    </row>
    <row r="86" customFormat="false" ht="15" hidden="false" customHeight="false" outlineLevel="0" collapsed="false">
      <c r="A86" s="46"/>
      <c r="B86" s="46"/>
      <c r="C86" s="46"/>
      <c r="D86" s="46"/>
      <c r="E86" s="56" t="str">
        <f aca="false">IF(A86="","",IF(F86=0,"",_xlfn.MAXIFS(op_Fech,op_Cliente,A86,op_Status,"Ganha")))</f>
        <v/>
      </c>
      <c r="F86" s="51" t="str">
        <f aca="false">IF(A86="","",COUNTIFS(op_Cliente,A86,op_Status,"Ganha"))</f>
        <v/>
      </c>
      <c r="G86" s="49" t="str">
        <f aca="false">IF(A86="","",SUMIFS(op_Valor,op_Cliente,A86,op_Status,"Ganha"))</f>
        <v/>
      </c>
      <c r="H86" s="51" t="str">
        <f aca="false">IF(OR(A86="",E86=""),"",DataRef-E86)</f>
        <v/>
      </c>
      <c r="I86" s="50" t="str">
        <f aca="false">IF(A86="","",IF(F86=0,"Sem compra",IF(H86&lt;=DiasRisco,"Ativo",IF(H86&lt;=DiasInativo,"Em risco","Inativo"))))</f>
        <v/>
      </c>
      <c r="J86" s="7" t="str">
        <f aca="false">IF(A86="","",IF(I86="Ativo","Manter relacionamento e oferecer upsell",IF(I86="Em risco","Contato do consultor nesta semana",IF(I86="Inativo","Campanha de reativação","Primeira abordagem comercial"))))</f>
        <v/>
      </c>
      <c r="K86" s="57" t="str">
        <f aca="false">IF(A86="","",G86+ROW()/1000000)</f>
        <v/>
      </c>
    </row>
    <row r="87" customFormat="false" ht="15" hidden="false" customHeight="false" outlineLevel="0" collapsed="false">
      <c r="A87" s="46"/>
      <c r="B87" s="46"/>
      <c r="C87" s="46"/>
      <c r="D87" s="46"/>
      <c r="E87" s="56" t="str">
        <f aca="false">IF(A87="","",IF(F87=0,"",_xlfn.MAXIFS(op_Fech,op_Cliente,A87,op_Status,"Ganha")))</f>
        <v/>
      </c>
      <c r="F87" s="51" t="str">
        <f aca="false">IF(A87="","",COUNTIFS(op_Cliente,A87,op_Status,"Ganha"))</f>
        <v/>
      </c>
      <c r="G87" s="49" t="str">
        <f aca="false">IF(A87="","",SUMIFS(op_Valor,op_Cliente,A87,op_Status,"Ganha"))</f>
        <v/>
      </c>
      <c r="H87" s="51" t="str">
        <f aca="false">IF(OR(A87="",E87=""),"",DataRef-E87)</f>
        <v/>
      </c>
      <c r="I87" s="50" t="str">
        <f aca="false">IF(A87="","",IF(F87=0,"Sem compra",IF(H87&lt;=DiasRisco,"Ativo",IF(H87&lt;=DiasInativo,"Em risco","Inativo"))))</f>
        <v/>
      </c>
      <c r="J87" s="7" t="str">
        <f aca="false">IF(A87="","",IF(I87="Ativo","Manter relacionamento e oferecer upsell",IF(I87="Em risco","Contato do consultor nesta semana",IF(I87="Inativo","Campanha de reativação","Primeira abordagem comercial"))))</f>
        <v/>
      </c>
      <c r="K87" s="57" t="str">
        <f aca="false">IF(A87="","",G87+ROW()/1000000)</f>
        <v/>
      </c>
    </row>
    <row r="88" customFormat="false" ht="15" hidden="false" customHeight="false" outlineLevel="0" collapsed="false">
      <c r="A88" s="46"/>
      <c r="B88" s="46"/>
      <c r="C88" s="46"/>
      <c r="D88" s="46"/>
      <c r="E88" s="56" t="str">
        <f aca="false">IF(A88="","",IF(F88=0,"",_xlfn.MAXIFS(op_Fech,op_Cliente,A88,op_Status,"Ganha")))</f>
        <v/>
      </c>
      <c r="F88" s="51" t="str">
        <f aca="false">IF(A88="","",COUNTIFS(op_Cliente,A88,op_Status,"Ganha"))</f>
        <v/>
      </c>
      <c r="G88" s="49" t="str">
        <f aca="false">IF(A88="","",SUMIFS(op_Valor,op_Cliente,A88,op_Status,"Ganha"))</f>
        <v/>
      </c>
      <c r="H88" s="51" t="str">
        <f aca="false">IF(OR(A88="",E88=""),"",DataRef-E88)</f>
        <v/>
      </c>
      <c r="I88" s="50" t="str">
        <f aca="false">IF(A88="","",IF(F88=0,"Sem compra",IF(H88&lt;=DiasRisco,"Ativo",IF(H88&lt;=DiasInativo,"Em risco","Inativo"))))</f>
        <v/>
      </c>
      <c r="J88" s="7" t="str">
        <f aca="false">IF(A88="","",IF(I88="Ativo","Manter relacionamento e oferecer upsell",IF(I88="Em risco","Contato do consultor nesta semana",IF(I88="Inativo","Campanha de reativação","Primeira abordagem comercial"))))</f>
        <v/>
      </c>
      <c r="K88" s="57" t="str">
        <f aca="false">IF(A88="","",G88+ROW()/1000000)</f>
        <v/>
      </c>
    </row>
    <row r="89" customFormat="false" ht="15" hidden="false" customHeight="false" outlineLevel="0" collapsed="false">
      <c r="A89" s="46"/>
      <c r="B89" s="46"/>
      <c r="C89" s="46"/>
      <c r="D89" s="46"/>
      <c r="E89" s="56" t="str">
        <f aca="false">IF(A89="","",IF(F89=0,"",_xlfn.MAXIFS(op_Fech,op_Cliente,A89,op_Status,"Ganha")))</f>
        <v/>
      </c>
      <c r="F89" s="51" t="str">
        <f aca="false">IF(A89="","",COUNTIFS(op_Cliente,A89,op_Status,"Ganha"))</f>
        <v/>
      </c>
      <c r="G89" s="49" t="str">
        <f aca="false">IF(A89="","",SUMIFS(op_Valor,op_Cliente,A89,op_Status,"Ganha"))</f>
        <v/>
      </c>
      <c r="H89" s="51" t="str">
        <f aca="false">IF(OR(A89="",E89=""),"",DataRef-E89)</f>
        <v/>
      </c>
      <c r="I89" s="50" t="str">
        <f aca="false">IF(A89="","",IF(F89=0,"Sem compra",IF(H89&lt;=DiasRisco,"Ativo",IF(H89&lt;=DiasInativo,"Em risco","Inativo"))))</f>
        <v/>
      </c>
      <c r="J89" s="7" t="str">
        <f aca="false">IF(A89="","",IF(I89="Ativo","Manter relacionamento e oferecer upsell",IF(I89="Em risco","Contato do consultor nesta semana",IF(I89="Inativo","Campanha de reativação","Primeira abordagem comercial"))))</f>
        <v/>
      </c>
      <c r="K89" s="57" t="str">
        <f aca="false">IF(A89="","",G89+ROW()/1000000)</f>
        <v/>
      </c>
    </row>
    <row r="90" customFormat="false" ht="15" hidden="false" customHeight="false" outlineLevel="0" collapsed="false">
      <c r="A90" s="46"/>
      <c r="B90" s="46"/>
      <c r="C90" s="46"/>
      <c r="D90" s="46"/>
      <c r="E90" s="56" t="str">
        <f aca="false">IF(A90="","",IF(F90=0,"",_xlfn.MAXIFS(op_Fech,op_Cliente,A90,op_Status,"Ganha")))</f>
        <v/>
      </c>
      <c r="F90" s="51" t="str">
        <f aca="false">IF(A90="","",COUNTIFS(op_Cliente,A90,op_Status,"Ganha"))</f>
        <v/>
      </c>
      <c r="G90" s="49" t="str">
        <f aca="false">IF(A90="","",SUMIFS(op_Valor,op_Cliente,A90,op_Status,"Ganha"))</f>
        <v/>
      </c>
      <c r="H90" s="51" t="str">
        <f aca="false">IF(OR(A90="",E90=""),"",DataRef-E90)</f>
        <v/>
      </c>
      <c r="I90" s="50" t="str">
        <f aca="false">IF(A90="","",IF(F90=0,"Sem compra",IF(H90&lt;=DiasRisco,"Ativo",IF(H90&lt;=DiasInativo,"Em risco","Inativo"))))</f>
        <v/>
      </c>
      <c r="J90" s="7" t="str">
        <f aca="false">IF(A90="","",IF(I90="Ativo","Manter relacionamento e oferecer upsell",IF(I90="Em risco","Contato do consultor nesta semana",IF(I90="Inativo","Campanha de reativação","Primeira abordagem comercial"))))</f>
        <v/>
      </c>
      <c r="K90" s="57" t="str">
        <f aca="false">IF(A90="","",G90+ROW()/1000000)</f>
        <v/>
      </c>
    </row>
    <row r="91" customFormat="false" ht="15" hidden="false" customHeight="false" outlineLevel="0" collapsed="false">
      <c r="A91" s="46"/>
      <c r="B91" s="46"/>
      <c r="C91" s="46"/>
      <c r="D91" s="46"/>
      <c r="E91" s="56" t="str">
        <f aca="false">IF(A91="","",IF(F91=0,"",_xlfn.MAXIFS(op_Fech,op_Cliente,A91,op_Status,"Ganha")))</f>
        <v/>
      </c>
      <c r="F91" s="51" t="str">
        <f aca="false">IF(A91="","",COUNTIFS(op_Cliente,A91,op_Status,"Ganha"))</f>
        <v/>
      </c>
      <c r="G91" s="49" t="str">
        <f aca="false">IF(A91="","",SUMIFS(op_Valor,op_Cliente,A91,op_Status,"Ganha"))</f>
        <v/>
      </c>
      <c r="H91" s="51" t="str">
        <f aca="false">IF(OR(A91="",E91=""),"",DataRef-E91)</f>
        <v/>
      </c>
      <c r="I91" s="50" t="str">
        <f aca="false">IF(A91="","",IF(F91=0,"Sem compra",IF(H91&lt;=DiasRisco,"Ativo",IF(H91&lt;=DiasInativo,"Em risco","Inativo"))))</f>
        <v/>
      </c>
      <c r="J91" s="7" t="str">
        <f aca="false">IF(A91="","",IF(I91="Ativo","Manter relacionamento e oferecer upsell",IF(I91="Em risco","Contato do consultor nesta semana",IF(I91="Inativo","Campanha de reativação","Primeira abordagem comercial"))))</f>
        <v/>
      </c>
      <c r="K91" s="57" t="str">
        <f aca="false">IF(A91="","",G91+ROW()/1000000)</f>
        <v/>
      </c>
    </row>
    <row r="92" customFormat="false" ht="15" hidden="false" customHeight="false" outlineLevel="0" collapsed="false">
      <c r="A92" s="46"/>
      <c r="B92" s="46"/>
      <c r="C92" s="46"/>
      <c r="D92" s="46"/>
      <c r="E92" s="56" t="str">
        <f aca="false">IF(A92="","",IF(F92=0,"",_xlfn.MAXIFS(op_Fech,op_Cliente,A92,op_Status,"Ganha")))</f>
        <v/>
      </c>
      <c r="F92" s="51" t="str">
        <f aca="false">IF(A92="","",COUNTIFS(op_Cliente,A92,op_Status,"Ganha"))</f>
        <v/>
      </c>
      <c r="G92" s="49" t="str">
        <f aca="false">IF(A92="","",SUMIFS(op_Valor,op_Cliente,A92,op_Status,"Ganha"))</f>
        <v/>
      </c>
      <c r="H92" s="51" t="str">
        <f aca="false">IF(OR(A92="",E92=""),"",DataRef-E92)</f>
        <v/>
      </c>
      <c r="I92" s="50" t="str">
        <f aca="false">IF(A92="","",IF(F92=0,"Sem compra",IF(H92&lt;=DiasRisco,"Ativo",IF(H92&lt;=DiasInativo,"Em risco","Inativo"))))</f>
        <v/>
      </c>
      <c r="J92" s="7" t="str">
        <f aca="false">IF(A92="","",IF(I92="Ativo","Manter relacionamento e oferecer upsell",IF(I92="Em risco","Contato do consultor nesta semana",IF(I92="Inativo","Campanha de reativação","Primeira abordagem comercial"))))</f>
        <v/>
      </c>
      <c r="K92" s="57" t="str">
        <f aca="false">IF(A92="","",G92+ROW()/1000000)</f>
        <v/>
      </c>
    </row>
    <row r="93" customFormat="false" ht="15" hidden="false" customHeight="false" outlineLevel="0" collapsed="false">
      <c r="A93" s="46"/>
      <c r="B93" s="46"/>
      <c r="C93" s="46"/>
      <c r="D93" s="46"/>
      <c r="E93" s="56" t="str">
        <f aca="false">IF(A93="","",IF(F93=0,"",_xlfn.MAXIFS(op_Fech,op_Cliente,A93,op_Status,"Ganha")))</f>
        <v/>
      </c>
      <c r="F93" s="51" t="str">
        <f aca="false">IF(A93="","",COUNTIFS(op_Cliente,A93,op_Status,"Ganha"))</f>
        <v/>
      </c>
      <c r="G93" s="49" t="str">
        <f aca="false">IF(A93="","",SUMIFS(op_Valor,op_Cliente,A93,op_Status,"Ganha"))</f>
        <v/>
      </c>
      <c r="H93" s="51" t="str">
        <f aca="false">IF(OR(A93="",E93=""),"",DataRef-E93)</f>
        <v/>
      </c>
      <c r="I93" s="50" t="str">
        <f aca="false">IF(A93="","",IF(F93=0,"Sem compra",IF(H93&lt;=DiasRisco,"Ativo",IF(H93&lt;=DiasInativo,"Em risco","Inativo"))))</f>
        <v/>
      </c>
      <c r="J93" s="7" t="str">
        <f aca="false">IF(A93="","",IF(I93="Ativo","Manter relacionamento e oferecer upsell",IF(I93="Em risco","Contato do consultor nesta semana",IF(I93="Inativo","Campanha de reativação","Primeira abordagem comercial"))))</f>
        <v/>
      </c>
      <c r="K93" s="57" t="str">
        <f aca="false">IF(A93="","",G93+ROW()/1000000)</f>
        <v/>
      </c>
    </row>
    <row r="94" customFormat="false" ht="15" hidden="false" customHeight="false" outlineLevel="0" collapsed="false">
      <c r="A94" s="46"/>
      <c r="B94" s="46"/>
      <c r="C94" s="46"/>
      <c r="D94" s="46"/>
      <c r="E94" s="56" t="str">
        <f aca="false">IF(A94="","",IF(F94=0,"",_xlfn.MAXIFS(op_Fech,op_Cliente,A94,op_Status,"Ganha")))</f>
        <v/>
      </c>
      <c r="F94" s="51" t="str">
        <f aca="false">IF(A94="","",COUNTIFS(op_Cliente,A94,op_Status,"Ganha"))</f>
        <v/>
      </c>
      <c r="G94" s="49" t="str">
        <f aca="false">IF(A94="","",SUMIFS(op_Valor,op_Cliente,A94,op_Status,"Ganha"))</f>
        <v/>
      </c>
      <c r="H94" s="51" t="str">
        <f aca="false">IF(OR(A94="",E94=""),"",DataRef-E94)</f>
        <v/>
      </c>
      <c r="I94" s="50" t="str">
        <f aca="false">IF(A94="","",IF(F94=0,"Sem compra",IF(H94&lt;=DiasRisco,"Ativo",IF(H94&lt;=DiasInativo,"Em risco","Inativo"))))</f>
        <v/>
      </c>
      <c r="J94" s="7" t="str">
        <f aca="false">IF(A94="","",IF(I94="Ativo","Manter relacionamento e oferecer upsell",IF(I94="Em risco","Contato do consultor nesta semana",IF(I94="Inativo","Campanha de reativação","Primeira abordagem comercial"))))</f>
        <v/>
      </c>
      <c r="K94" s="57" t="str">
        <f aca="false">IF(A94="","",G94+ROW()/1000000)</f>
        <v/>
      </c>
    </row>
    <row r="95" customFormat="false" ht="15" hidden="false" customHeight="false" outlineLevel="0" collapsed="false">
      <c r="A95" s="46"/>
      <c r="B95" s="46"/>
      <c r="C95" s="46"/>
      <c r="D95" s="46"/>
      <c r="E95" s="56" t="str">
        <f aca="false">IF(A95="","",IF(F95=0,"",_xlfn.MAXIFS(op_Fech,op_Cliente,A95,op_Status,"Ganha")))</f>
        <v/>
      </c>
      <c r="F95" s="51" t="str">
        <f aca="false">IF(A95="","",COUNTIFS(op_Cliente,A95,op_Status,"Ganha"))</f>
        <v/>
      </c>
      <c r="G95" s="49" t="str">
        <f aca="false">IF(A95="","",SUMIFS(op_Valor,op_Cliente,A95,op_Status,"Ganha"))</f>
        <v/>
      </c>
      <c r="H95" s="51" t="str">
        <f aca="false">IF(OR(A95="",E95=""),"",DataRef-E95)</f>
        <v/>
      </c>
      <c r="I95" s="50" t="str">
        <f aca="false">IF(A95="","",IF(F95=0,"Sem compra",IF(H95&lt;=DiasRisco,"Ativo",IF(H95&lt;=DiasInativo,"Em risco","Inativo"))))</f>
        <v/>
      </c>
      <c r="J95" s="7" t="str">
        <f aca="false">IF(A95="","",IF(I95="Ativo","Manter relacionamento e oferecer upsell",IF(I95="Em risco","Contato do consultor nesta semana",IF(I95="Inativo","Campanha de reativação","Primeira abordagem comercial"))))</f>
        <v/>
      </c>
      <c r="K95" s="57" t="str">
        <f aca="false">IF(A95="","",G95+ROW()/1000000)</f>
        <v/>
      </c>
    </row>
    <row r="96" customFormat="false" ht="15" hidden="false" customHeight="false" outlineLevel="0" collapsed="false">
      <c r="A96" s="46"/>
      <c r="B96" s="46"/>
      <c r="C96" s="46"/>
      <c r="D96" s="46"/>
      <c r="E96" s="56" t="str">
        <f aca="false">IF(A96="","",IF(F96=0,"",_xlfn.MAXIFS(op_Fech,op_Cliente,A96,op_Status,"Ganha")))</f>
        <v/>
      </c>
      <c r="F96" s="51" t="str">
        <f aca="false">IF(A96="","",COUNTIFS(op_Cliente,A96,op_Status,"Ganha"))</f>
        <v/>
      </c>
      <c r="G96" s="49" t="str">
        <f aca="false">IF(A96="","",SUMIFS(op_Valor,op_Cliente,A96,op_Status,"Ganha"))</f>
        <v/>
      </c>
      <c r="H96" s="51" t="str">
        <f aca="false">IF(OR(A96="",E96=""),"",DataRef-E96)</f>
        <v/>
      </c>
      <c r="I96" s="50" t="str">
        <f aca="false">IF(A96="","",IF(F96=0,"Sem compra",IF(H96&lt;=DiasRisco,"Ativo",IF(H96&lt;=DiasInativo,"Em risco","Inativo"))))</f>
        <v/>
      </c>
      <c r="J96" s="7" t="str">
        <f aca="false">IF(A96="","",IF(I96="Ativo","Manter relacionamento e oferecer upsell",IF(I96="Em risco","Contato do consultor nesta semana",IF(I96="Inativo","Campanha de reativação","Primeira abordagem comercial"))))</f>
        <v/>
      </c>
      <c r="K96" s="57" t="str">
        <f aca="false">IF(A96="","",G96+ROW()/1000000)</f>
        <v/>
      </c>
    </row>
    <row r="97" customFormat="false" ht="15" hidden="false" customHeight="false" outlineLevel="0" collapsed="false">
      <c r="A97" s="46"/>
      <c r="B97" s="46"/>
      <c r="C97" s="46"/>
      <c r="D97" s="46"/>
      <c r="E97" s="56" t="str">
        <f aca="false">IF(A97="","",IF(F97=0,"",_xlfn.MAXIFS(op_Fech,op_Cliente,A97,op_Status,"Ganha")))</f>
        <v/>
      </c>
      <c r="F97" s="51" t="str">
        <f aca="false">IF(A97="","",COUNTIFS(op_Cliente,A97,op_Status,"Ganha"))</f>
        <v/>
      </c>
      <c r="G97" s="49" t="str">
        <f aca="false">IF(A97="","",SUMIFS(op_Valor,op_Cliente,A97,op_Status,"Ganha"))</f>
        <v/>
      </c>
      <c r="H97" s="51" t="str">
        <f aca="false">IF(OR(A97="",E97=""),"",DataRef-E97)</f>
        <v/>
      </c>
      <c r="I97" s="50" t="str">
        <f aca="false">IF(A97="","",IF(F97=0,"Sem compra",IF(H97&lt;=DiasRisco,"Ativo",IF(H97&lt;=DiasInativo,"Em risco","Inativo"))))</f>
        <v/>
      </c>
      <c r="J97" s="7" t="str">
        <f aca="false">IF(A97="","",IF(I97="Ativo","Manter relacionamento e oferecer upsell",IF(I97="Em risco","Contato do consultor nesta semana",IF(I97="Inativo","Campanha de reativação","Primeira abordagem comercial"))))</f>
        <v/>
      </c>
      <c r="K97" s="57" t="str">
        <f aca="false">IF(A97="","",G97+ROW()/1000000)</f>
        <v/>
      </c>
    </row>
    <row r="98" customFormat="false" ht="15" hidden="false" customHeight="false" outlineLevel="0" collapsed="false">
      <c r="A98" s="46"/>
      <c r="B98" s="46"/>
      <c r="C98" s="46"/>
      <c r="D98" s="46"/>
      <c r="E98" s="56" t="str">
        <f aca="false">IF(A98="","",IF(F98=0,"",_xlfn.MAXIFS(op_Fech,op_Cliente,A98,op_Status,"Ganha")))</f>
        <v/>
      </c>
      <c r="F98" s="51" t="str">
        <f aca="false">IF(A98="","",COUNTIFS(op_Cliente,A98,op_Status,"Ganha"))</f>
        <v/>
      </c>
      <c r="G98" s="49" t="str">
        <f aca="false">IF(A98="","",SUMIFS(op_Valor,op_Cliente,A98,op_Status,"Ganha"))</f>
        <v/>
      </c>
      <c r="H98" s="51" t="str">
        <f aca="false">IF(OR(A98="",E98=""),"",DataRef-E98)</f>
        <v/>
      </c>
      <c r="I98" s="50" t="str">
        <f aca="false">IF(A98="","",IF(F98=0,"Sem compra",IF(H98&lt;=DiasRisco,"Ativo",IF(H98&lt;=DiasInativo,"Em risco","Inativo"))))</f>
        <v/>
      </c>
      <c r="J98" s="7" t="str">
        <f aca="false">IF(A98="","",IF(I98="Ativo","Manter relacionamento e oferecer upsell",IF(I98="Em risco","Contato do consultor nesta semana",IF(I98="Inativo","Campanha de reativação","Primeira abordagem comercial"))))</f>
        <v/>
      </c>
      <c r="K98" s="57" t="str">
        <f aca="false">IF(A98="","",G98+ROW()/1000000)</f>
        <v/>
      </c>
    </row>
    <row r="99" customFormat="false" ht="15" hidden="false" customHeight="false" outlineLevel="0" collapsed="false">
      <c r="A99" s="46"/>
      <c r="B99" s="46"/>
      <c r="C99" s="46"/>
      <c r="D99" s="46"/>
      <c r="E99" s="56" t="str">
        <f aca="false">IF(A99="","",IF(F99=0,"",_xlfn.MAXIFS(op_Fech,op_Cliente,A99,op_Status,"Ganha")))</f>
        <v/>
      </c>
      <c r="F99" s="51" t="str">
        <f aca="false">IF(A99="","",COUNTIFS(op_Cliente,A99,op_Status,"Ganha"))</f>
        <v/>
      </c>
      <c r="G99" s="49" t="str">
        <f aca="false">IF(A99="","",SUMIFS(op_Valor,op_Cliente,A99,op_Status,"Ganha"))</f>
        <v/>
      </c>
      <c r="H99" s="51" t="str">
        <f aca="false">IF(OR(A99="",E99=""),"",DataRef-E99)</f>
        <v/>
      </c>
      <c r="I99" s="50" t="str">
        <f aca="false">IF(A99="","",IF(F99=0,"Sem compra",IF(H99&lt;=DiasRisco,"Ativo",IF(H99&lt;=DiasInativo,"Em risco","Inativo"))))</f>
        <v/>
      </c>
      <c r="J99" s="7" t="str">
        <f aca="false">IF(A99="","",IF(I99="Ativo","Manter relacionamento e oferecer upsell",IF(I99="Em risco","Contato do consultor nesta semana",IF(I99="Inativo","Campanha de reativação","Primeira abordagem comercial"))))</f>
        <v/>
      </c>
      <c r="K99" s="57" t="str">
        <f aca="false">IF(A99="","",G99+ROW()/1000000)</f>
        <v/>
      </c>
    </row>
    <row r="100" customFormat="false" ht="15" hidden="false" customHeight="false" outlineLevel="0" collapsed="false">
      <c r="A100" s="46"/>
      <c r="B100" s="46"/>
      <c r="C100" s="46"/>
      <c r="D100" s="46"/>
      <c r="E100" s="56" t="str">
        <f aca="false">IF(A100="","",IF(F100=0,"",_xlfn.MAXIFS(op_Fech,op_Cliente,A100,op_Status,"Ganha")))</f>
        <v/>
      </c>
      <c r="F100" s="51" t="str">
        <f aca="false">IF(A100="","",COUNTIFS(op_Cliente,A100,op_Status,"Ganha"))</f>
        <v/>
      </c>
      <c r="G100" s="49" t="str">
        <f aca="false">IF(A100="","",SUMIFS(op_Valor,op_Cliente,A100,op_Status,"Ganha"))</f>
        <v/>
      </c>
      <c r="H100" s="51" t="str">
        <f aca="false">IF(OR(A100="",E100=""),"",DataRef-E100)</f>
        <v/>
      </c>
      <c r="I100" s="50" t="str">
        <f aca="false">IF(A100="","",IF(F100=0,"Sem compra",IF(H100&lt;=DiasRisco,"Ativo",IF(H100&lt;=DiasInativo,"Em risco","Inativo"))))</f>
        <v/>
      </c>
      <c r="J100" s="7" t="str">
        <f aca="false">IF(A100="","",IF(I100="Ativo","Manter relacionamento e oferecer upsell",IF(I100="Em risco","Contato do consultor nesta semana",IF(I100="Inativo","Campanha de reativação","Primeira abordagem comercial"))))</f>
        <v/>
      </c>
      <c r="K100" s="57" t="str">
        <f aca="false">IF(A100="","",G100+ROW()/1000000)</f>
        <v/>
      </c>
    </row>
    <row r="101" customFormat="false" ht="15" hidden="false" customHeight="false" outlineLevel="0" collapsed="false">
      <c r="A101" s="46"/>
      <c r="B101" s="46"/>
      <c r="C101" s="46"/>
      <c r="D101" s="46"/>
      <c r="E101" s="56" t="str">
        <f aca="false">IF(A101="","",IF(F101=0,"",_xlfn.MAXIFS(op_Fech,op_Cliente,A101,op_Status,"Ganha")))</f>
        <v/>
      </c>
      <c r="F101" s="51" t="str">
        <f aca="false">IF(A101="","",COUNTIFS(op_Cliente,A101,op_Status,"Ganha"))</f>
        <v/>
      </c>
      <c r="G101" s="49" t="str">
        <f aca="false">IF(A101="","",SUMIFS(op_Valor,op_Cliente,A101,op_Status,"Ganha"))</f>
        <v/>
      </c>
      <c r="H101" s="51" t="str">
        <f aca="false">IF(OR(A101="",E101=""),"",DataRef-E101)</f>
        <v/>
      </c>
      <c r="I101" s="50" t="str">
        <f aca="false">IF(A101="","",IF(F101=0,"Sem compra",IF(H101&lt;=DiasRisco,"Ativo",IF(H101&lt;=DiasInativo,"Em risco","Inativo"))))</f>
        <v/>
      </c>
      <c r="J101" s="7" t="str">
        <f aca="false">IF(A101="","",IF(I101="Ativo","Manter relacionamento e oferecer upsell",IF(I101="Em risco","Contato do consultor nesta semana",IF(I101="Inativo","Campanha de reativação","Primeira abordagem comercial"))))</f>
        <v/>
      </c>
      <c r="K101" s="57" t="str">
        <f aca="false">IF(A101="","",G101+ROW()/1000000)</f>
        <v/>
      </c>
    </row>
    <row r="102" customFormat="false" ht="15" hidden="false" customHeight="false" outlineLevel="0" collapsed="false">
      <c r="A102" s="46"/>
      <c r="B102" s="46"/>
      <c r="C102" s="46"/>
      <c r="D102" s="46"/>
      <c r="E102" s="56" t="str">
        <f aca="false">IF(A102="","",IF(F102=0,"",_xlfn.MAXIFS(op_Fech,op_Cliente,A102,op_Status,"Ganha")))</f>
        <v/>
      </c>
      <c r="F102" s="51" t="str">
        <f aca="false">IF(A102="","",COUNTIFS(op_Cliente,A102,op_Status,"Ganha"))</f>
        <v/>
      </c>
      <c r="G102" s="49" t="str">
        <f aca="false">IF(A102="","",SUMIFS(op_Valor,op_Cliente,A102,op_Status,"Ganha"))</f>
        <v/>
      </c>
      <c r="H102" s="51" t="str">
        <f aca="false">IF(OR(A102="",E102=""),"",DataRef-E102)</f>
        <v/>
      </c>
      <c r="I102" s="50" t="str">
        <f aca="false">IF(A102="","",IF(F102=0,"Sem compra",IF(H102&lt;=DiasRisco,"Ativo",IF(H102&lt;=DiasInativo,"Em risco","Inativo"))))</f>
        <v/>
      </c>
      <c r="J102" s="7" t="str">
        <f aca="false">IF(A102="","",IF(I102="Ativo","Manter relacionamento e oferecer upsell",IF(I102="Em risco","Contato do consultor nesta semana",IF(I102="Inativo","Campanha de reativação","Primeira abordagem comercial"))))</f>
        <v/>
      </c>
      <c r="K102" s="57" t="str">
        <f aca="false">IF(A102="","",G102+ROW()/1000000)</f>
        <v/>
      </c>
    </row>
    <row r="103" customFormat="false" ht="15" hidden="false" customHeight="false" outlineLevel="0" collapsed="false">
      <c r="A103" s="46"/>
      <c r="B103" s="46"/>
      <c r="C103" s="46"/>
      <c r="D103" s="46"/>
      <c r="E103" s="56" t="str">
        <f aca="false">IF(A103="","",IF(F103=0,"",_xlfn.MAXIFS(op_Fech,op_Cliente,A103,op_Status,"Ganha")))</f>
        <v/>
      </c>
      <c r="F103" s="51" t="str">
        <f aca="false">IF(A103="","",COUNTIFS(op_Cliente,A103,op_Status,"Ganha"))</f>
        <v/>
      </c>
      <c r="G103" s="49" t="str">
        <f aca="false">IF(A103="","",SUMIFS(op_Valor,op_Cliente,A103,op_Status,"Ganha"))</f>
        <v/>
      </c>
      <c r="H103" s="51" t="str">
        <f aca="false">IF(OR(A103="",E103=""),"",DataRef-E103)</f>
        <v/>
      </c>
      <c r="I103" s="50" t="str">
        <f aca="false">IF(A103="","",IF(F103=0,"Sem compra",IF(H103&lt;=DiasRisco,"Ativo",IF(H103&lt;=DiasInativo,"Em risco","Inativo"))))</f>
        <v/>
      </c>
      <c r="J103" s="7" t="str">
        <f aca="false">IF(A103="","",IF(I103="Ativo","Manter relacionamento e oferecer upsell",IF(I103="Em risco","Contato do consultor nesta semana",IF(I103="Inativo","Campanha de reativação","Primeira abordagem comercial"))))</f>
        <v/>
      </c>
      <c r="K103" s="57" t="str">
        <f aca="false">IF(A103="","",G103+ROW()/1000000)</f>
        <v/>
      </c>
    </row>
    <row r="104" customFormat="false" ht="15" hidden="false" customHeight="false" outlineLevel="0" collapsed="false">
      <c r="A104" s="46"/>
      <c r="B104" s="46"/>
      <c r="C104" s="46"/>
      <c r="D104" s="46"/>
      <c r="E104" s="56" t="str">
        <f aca="false">IF(A104="","",IF(F104=0,"",_xlfn.MAXIFS(op_Fech,op_Cliente,A104,op_Status,"Ganha")))</f>
        <v/>
      </c>
      <c r="F104" s="51" t="str">
        <f aca="false">IF(A104="","",COUNTIFS(op_Cliente,A104,op_Status,"Ganha"))</f>
        <v/>
      </c>
      <c r="G104" s="49" t="str">
        <f aca="false">IF(A104="","",SUMIFS(op_Valor,op_Cliente,A104,op_Status,"Ganha"))</f>
        <v/>
      </c>
      <c r="H104" s="51" t="str">
        <f aca="false">IF(OR(A104="",E104=""),"",DataRef-E104)</f>
        <v/>
      </c>
      <c r="I104" s="50" t="str">
        <f aca="false">IF(A104="","",IF(F104=0,"Sem compra",IF(H104&lt;=DiasRisco,"Ativo",IF(H104&lt;=DiasInativo,"Em risco","Inativo"))))</f>
        <v/>
      </c>
      <c r="J104" s="7" t="str">
        <f aca="false">IF(A104="","",IF(I104="Ativo","Manter relacionamento e oferecer upsell",IF(I104="Em risco","Contato do consultor nesta semana",IF(I104="Inativo","Campanha de reativação","Primeira abordagem comercial"))))</f>
        <v/>
      </c>
      <c r="K104" s="57" t="str">
        <f aca="false">IF(A104="","",G104+ROW()/1000000)</f>
        <v/>
      </c>
    </row>
  </sheetData>
  <autoFilter ref="A4:K104"/>
  <conditionalFormatting sqref="I5:I104">
    <cfRule type="expression" priority="2" aboveAverage="0" equalAverage="0" bottom="0" percent="0" rank="0" text="" dxfId="0">
      <formula>I5="Ativo"</formula>
    </cfRule>
    <cfRule type="expression" priority="3" aboveAverage="0" equalAverage="0" bottom="0" percent="0" rank="0" text="" dxfId="1">
      <formula>I5="Em risco"</formula>
    </cfRule>
    <cfRule type="expression" priority="4" aboveAverage="0" equalAverage="0" bottom="0" percent="0" rank="0" text="" dxfId="2">
      <formula>I5="Inativo"</formula>
    </cfRule>
    <cfRule type="expression" priority="5" aboveAverage="0" equalAverage="0" bottom="0" percent="0" rank="0" text="" dxfId="19">
      <formula>I5="Sem compra"</formula>
    </cfRule>
  </conditionalFormatting>
  <dataValidations count="3">
    <dataValidation allowBlank="true" error="Escolha um item da lista." errorStyle="stop" errorTitle="Valor inválido" operator="between" showDropDown="false" showErrorMessage="true" showInputMessage="false" sqref="B5:B104" type="list">
      <formula1>lst_Segmentos</formula1>
      <formula2>0</formula2>
    </dataValidation>
    <dataValidation allowBlank="true" error="Escolha um item da lista." errorStyle="stop" errorTitle="Valor inválido" operator="between" showDropDown="false" showErrorMessage="true" showInputMessage="false" sqref="C5:C104" type="list">
      <formula1>lst_Regioes</formula1>
      <formula2>0</formula2>
    </dataValidation>
    <dataValidation allowBlank="true" error="Escolha um item da lista." errorStyle="stop" errorTitle="Valor inválido" operator="between" showDropDown="false" showErrorMessage="true" showInputMessage="false" sqref="D5:D104" type="list">
      <formula1>lst_Consultores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00"/>
    <pageSetUpPr fitToPage="false"/>
  </sheetPr>
  <dimension ref="B1:N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3"/>
    <col collapsed="false" customWidth="true" hidden="false" outlineLevel="0" max="5" min="5" style="0" width="22"/>
    <col collapsed="false" customWidth="true" hidden="false" outlineLevel="0" max="6" min="6" style="0" width="3"/>
    <col collapsed="false" customWidth="true" hidden="false" outlineLevel="0" max="7" min="7" style="0" width="26"/>
    <col collapsed="false" customWidth="true" hidden="false" outlineLevel="0" max="8" min="8" style="0" width="3"/>
    <col collapsed="false" customWidth="true" hidden="false" outlineLevel="0" max="9" min="9" style="0" width="16"/>
    <col collapsed="false" customWidth="true" hidden="false" outlineLevel="0" max="10" min="10" style="0" width="3"/>
    <col collapsed="false" customWidth="true" hidden="false" outlineLevel="0" max="11" min="11" style="0" width="18"/>
    <col collapsed="false" customWidth="true" hidden="false" outlineLevel="0" max="12" min="12" style="0" width="3"/>
    <col collapsed="false" customWidth="true" hidden="false" outlineLevel="0" max="13" min="13" style="0" width="14"/>
    <col collapsed="false" customWidth="true" hidden="false" outlineLevel="0" max="14" min="14" style="0" width="10"/>
  </cols>
  <sheetData>
    <row r="1" customFormat="false" ht="19.7" hidden="false" customHeight="false" outlineLevel="0" collapsed="false">
      <c r="B1" s="43" t="s">
        <v>517</v>
      </c>
    </row>
    <row r="2" customFormat="false" ht="15" hidden="false" customHeight="false" outlineLevel="0" collapsed="false">
      <c r="B2" s="2" t="s">
        <v>518</v>
      </c>
    </row>
    <row r="4" customFormat="false" ht="15" hidden="false" customHeight="false" outlineLevel="0" collapsed="false">
      <c r="B4" s="58" t="s">
        <v>519</v>
      </c>
    </row>
    <row r="5" customFormat="false" ht="15" hidden="false" customHeight="false" outlineLevel="0" collapsed="false">
      <c r="B5" s="7" t="s">
        <v>43</v>
      </c>
      <c r="C5" s="59" t="n">
        <v>46308</v>
      </c>
      <c r="E5" s="42" t="s">
        <v>520</v>
      </c>
    </row>
    <row r="6" customFormat="false" ht="15" hidden="false" customHeight="false" outlineLevel="0" collapsed="false">
      <c r="B6" s="7" t="s">
        <v>521</v>
      </c>
      <c r="C6" s="60" t="n">
        <v>45</v>
      </c>
      <c r="E6" s="42" t="s">
        <v>522</v>
      </c>
    </row>
    <row r="7" customFormat="false" ht="15" hidden="false" customHeight="false" outlineLevel="0" collapsed="false">
      <c r="B7" s="7" t="s">
        <v>523</v>
      </c>
      <c r="C7" s="60" t="n">
        <v>90</v>
      </c>
      <c r="E7" s="42" t="s">
        <v>524</v>
      </c>
    </row>
    <row r="8" customFormat="false" ht="15" hidden="false" customHeight="false" outlineLevel="0" collapsed="false">
      <c r="B8" s="7" t="s">
        <v>525</v>
      </c>
      <c r="C8" s="60" t="n">
        <v>180</v>
      </c>
      <c r="E8" s="42" t="s">
        <v>526</v>
      </c>
    </row>
    <row r="10" customFormat="false" ht="15" hidden="false" customHeight="false" outlineLevel="0" collapsed="false">
      <c r="B10" s="58" t="s">
        <v>527</v>
      </c>
    </row>
    <row r="11" customFormat="false" ht="15" hidden="false" customHeight="false" outlineLevel="0" collapsed="false">
      <c r="B11" s="7" t="s">
        <v>528</v>
      </c>
      <c r="C11" s="61" t="str">
        <f aca="false">IF(Painel!$F$4="Todos","*",Painel!$F$4)</f>
        <v>*</v>
      </c>
      <c r="E11" s="42" t="s">
        <v>529</v>
      </c>
    </row>
    <row r="12" customFormat="false" ht="15" hidden="false" customHeight="false" outlineLevel="0" collapsed="false">
      <c r="B12" s="7" t="s">
        <v>530</v>
      </c>
      <c r="C12" s="15" t="n">
        <f aca="false">Painel!$C$4</f>
        <v>46266</v>
      </c>
    </row>
    <row r="13" customFormat="false" ht="15" hidden="false" customHeight="false" outlineLevel="0" collapsed="false">
      <c r="B13" s="7" t="s">
        <v>531</v>
      </c>
      <c r="C13" s="56" t="n">
        <f aca="false">EOMONTH(C12,0)</f>
        <v>46295</v>
      </c>
    </row>
    <row r="15" customFormat="false" ht="15" hidden="false" customHeight="false" outlineLevel="0" collapsed="false">
      <c r="B15" s="58" t="s">
        <v>532</v>
      </c>
    </row>
    <row r="16" customFormat="false" ht="15" hidden="false" customHeight="false" outlineLevel="0" collapsed="false">
      <c r="B16" s="62" t="s">
        <v>533</v>
      </c>
      <c r="C16" s="30" t="s">
        <v>534</v>
      </c>
      <c r="E16" s="62" t="s">
        <v>535</v>
      </c>
      <c r="G16" s="62" t="s">
        <v>536</v>
      </c>
      <c r="I16" s="62" t="s">
        <v>537</v>
      </c>
      <c r="K16" s="62" t="s">
        <v>538</v>
      </c>
      <c r="M16" s="30" t="s">
        <v>539</v>
      </c>
      <c r="N16" s="30" t="s">
        <v>540</v>
      </c>
    </row>
    <row r="17" customFormat="false" ht="15" hidden="false" customHeight="false" outlineLevel="0" collapsed="false">
      <c r="B17" s="46" t="s">
        <v>361</v>
      </c>
      <c r="C17" s="63" t="n">
        <v>0.1</v>
      </c>
      <c r="E17" s="46" t="s">
        <v>53</v>
      </c>
      <c r="G17" s="46" t="s">
        <v>115</v>
      </c>
      <c r="I17" s="46" t="s">
        <v>509</v>
      </c>
      <c r="K17" s="46" t="s">
        <v>508</v>
      </c>
      <c r="M17" s="64" t="n">
        <v>46023</v>
      </c>
      <c r="N17" s="44" t="s">
        <v>541</v>
      </c>
    </row>
    <row r="18" customFormat="false" ht="15" hidden="false" customHeight="false" outlineLevel="0" collapsed="false">
      <c r="B18" s="46" t="s">
        <v>224</v>
      </c>
      <c r="C18" s="63" t="n">
        <v>0.25</v>
      </c>
      <c r="E18" s="46" t="s">
        <v>119</v>
      </c>
      <c r="G18" s="46" t="s">
        <v>128</v>
      </c>
      <c r="I18" s="46" t="s">
        <v>510</v>
      </c>
      <c r="K18" s="46" t="s">
        <v>511</v>
      </c>
      <c r="M18" s="64" t="n">
        <v>46054</v>
      </c>
      <c r="N18" s="44" t="s">
        <v>542</v>
      </c>
    </row>
    <row r="19" customFormat="false" ht="15" hidden="false" customHeight="false" outlineLevel="0" collapsed="false">
      <c r="B19" s="46" t="s">
        <v>124</v>
      </c>
      <c r="C19" s="63" t="n">
        <v>0.5</v>
      </c>
      <c r="E19" s="46" t="s">
        <v>127</v>
      </c>
      <c r="G19" s="46" t="s">
        <v>110</v>
      </c>
      <c r="I19" s="46" t="s">
        <v>512</v>
      </c>
      <c r="K19" s="46" t="s">
        <v>515</v>
      </c>
      <c r="M19" s="64" t="n">
        <v>46082</v>
      </c>
      <c r="N19" s="44" t="s">
        <v>543</v>
      </c>
    </row>
    <row r="20" customFormat="false" ht="15" hidden="false" customHeight="false" outlineLevel="0" collapsed="false">
      <c r="B20" s="46" t="s">
        <v>368</v>
      </c>
      <c r="C20" s="63" t="n">
        <v>0.75</v>
      </c>
      <c r="E20" s="46" t="s">
        <v>165</v>
      </c>
      <c r="G20" s="46" t="s">
        <v>122</v>
      </c>
      <c r="I20" s="46" t="s">
        <v>513</v>
      </c>
      <c r="K20" s="46" t="s">
        <v>516</v>
      </c>
      <c r="M20" s="64" t="n">
        <v>46113</v>
      </c>
      <c r="N20" s="44" t="s">
        <v>544</v>
      </c>
    </row>
    <row r="21" customFormat="false" ht="15" hidden="false" customHeight="false" outlineLevel="0" collapsed="false">
      <c r="B21" s="46" t="s">
        <v>116</v>
      </c>
      <c r="C21" s="65" t="n">
        <v>1</v>
      </c>
      <c r="E21" s="46" t="s">
        <v>109</v>
      </c>
      <c r="I21" s="46" t="s">
        <v>514</v>
      </c>
      <c r="M21" s="64" t="n">
        <v>46143</v>
      </c>
      <c r="N21" s="44" t="s">
        <v>545</v>
      </c>
    </row>
    <row r="22" customFormat="false" ht="15" hidden="false" customHeight="false" outlineLevel="0" collapsed="false">
      <c r="B22" s="46" t="s">
        <v>111</v>
      </c>
      <c r="C22" s="65" t="n">
        <v>0</v>
      </c>
      <c r="E22" s="46" t="s">
        <v>131</v>
      </c>
      <c r="M22" s="64" t="n">
        <v>46174</v>
      </c>
      <c r="N22" s="44" t="s">
        <v>546</v>
      </c>
    </row>
    <row r="23" customFormat="false" ht="15" hidden="false" customHeight="false" outlineLevel="0" collapsed="false">
      <c r="E23" s="46" t="s">
        <v>114</v>
      </c>
      <c r="M23" s="64" t="n">
        <v>46204</v>
      </c>
      <c r="N23" s="44" t="s">
        <v>547</v>
      </c>
    </row>
    <row r="24" customFormat="false" ht="15" hidden="false" customHeight="false" outlineLevel="0" collapsed="false">
      <c r="B24" s="42" t="s">
        <v>548</v>
      </c>
      <c r="M24" s="64" t="n">
        <v>46235</v>
      </c>
      <c r="N24" s="44" t="s">
        <v>549</v>
      </c>
    </row>
    <row r="25" customFormat="false" ht="15" hidden="false" customHeight="false" outlineLevel="0" collapsed="false">
      <c r="M25" s="64" t="n">
        <v>46266</v>
      </c>
      <c r="N25" s="44" t="s">
        <v>550</v>
      </c>
    </row>
    <row r="26" customFormat="false" ht="15" hidden="false" customHeight="false" outlineLevel="0" collapsed="false">
      <c r="M26" s="64" t="n">
        <v>46296</v>
      </c>
      <c r="N26" s="44" t="s">
        <v>551</v>
      </c>
    </row>
    <row r="27" customFormat="false" ht="15" hidden="false" customHeight="false" outlineLevel="0" collapsed="false">
      <c r="M27" s="64" t="n">
        <v>46327</v>
      </c>
      <c r="N27" s="44" t="s">
        <v>552</v>
      </c>
    </row>
    <row r="28" customFormat="false" ht="15" hidden="false" customHeight="false" outlineLevel="0" collapsed="false">
      <c r="M28" s="64" t="n">
        <v>46357</v>
      </c>
      <c r="N28" s="44" t="s">
        <v>553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2026-10-13T04:34:23Z</dcterms:created>
  <dc:creator>openpyxl</dc:creator>
  <dc:description/>
  <dc:language>en-US</dc:language>
  <cp:lastModifiedBy/>
  <dcterms:modified xsi:type="dcterms:W3CDTF">2026-10-13T01:34:26Z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